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s/"/>
    </mc:Choice>
  </mc:AlternateContent>
  <xr:revisionPtr revIDLastSave="0" documentId="13_ncr:1_{A9D82124-6922-B644-9F6B-F804567EAF3A}" xr6:coauthVersionLast="47" xr6:coauthVersionMax="47" xr10:uidLastSave="{00000000-0000-0000-0000-000000000000}"/>
  <bookViews>
    <workbookView xWindow="4760" yWindow="560" windowWidth="39980" windowHeight="26700" xr2:uid="{84E1B740-0BA9-6B4F-AA6B-2F5191EC9593}"/>
  </bookViews>
  <sheets>
    <sheet name="Sheet1" sheetId="1" r:id="rId1"/>
    <sheet name="Sheet2" sheetId="2" r:id="rId2"/>
  </sheets>
  <definedNames>
    <definedName name="_xlnm._FilterDatabase" localSheetId="0" hidden="1">Sheet1!$L$1:$M$73</definedName>
    <definedName name="_xlnm.Print_Area" localSheetId="0">Sheet1!$A$1:$T$29</definedName>
    <definedName name="_xlnm.Print_Area" localSheetId="1">Sheet2!$A$1:$B$18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3" i="1" l="1"/>
  <c r="S73" i="1"/>
  <c r="P73" i="1"/>
  <c r="N73" i="1"/>
  <c r="T36" i="1"/>
  <c r="T34" i="1"/>
  <c r="T32" i="1"/>
  <c r="T30" i="1"/>
  <c r="T28" i="1"/>
  <c r="T26" i="1"/>
  <c r="T24" i="1"/>
  <c r="T22" i="1"/>
  <c r="T20" i="1"/>
  <c r="R36" i="1"/>
  <c r="R34" i="1"/>
  <c r="R32" i="1"/>
  <c r="R30" i="1"/>
  <c r="T18" i="1"/>
  <c r="R18" i="1"/>
  <c r="T16" i="1"/>
  <c r="R16" i="1"/>
  <c r="R28" i="1"/>
  <c r="T14" i="1"/>
  <c r="R14" i="1"/>
  <c r="R20" i="1"/>
  <c r="R22" i="1"/>
  <c r="R24" i="1"/>
  <c r="R26" i="1"/>
  <c r="T12" i="1" l="1"/>
  <c r="R12" i="1"/>
  <c r="T10" i="1"/>
  <c r="R10" i="1"/>
  <c r="T8" i="1"/>
  <c r="R8" i="1"/>
  <c r="T5" i="1"/>
  <c r="R5" i="1"/>
  <c r="T3" i="1"/>
  <c r="R3" i="1"/>
</calcChain>
</file>

<file path=xl/sharedStrings.xml><?xml version="1.0" encoding="utf-8"?>
<sst xmlns="http://schemas.openxmlformats.org/spreadsheetml/2006/main" count="631" uniqueCount="254">
  <si>
    <t>Cohort_ID</t>
  </si>
  <si>
    <t>PumpGroup</t>
  </si>
  <si>
    <t>NameGroup</t>
  </si>
  <si>
    <t>Source</t>
  </si>
  <si>
    <t>Handling</t>
  </si>
  <si>
    <t>CIVMID</t>
  </si>
  <si>
    <t>Bruker_folder</t>
  </si>
  <si>
    <t>BadeaID</t>
  </si>
  <si>
    <t>Genotype</t>
  </si>
  <si>
    <t>Sex</t>
  </si>
  <si>
    <t>DOB</t>
  </si>
  <si>
    <t>Weight</t>
  </si>
  <si>
    <t xml:space="preserve">Perfusion </t>
  </si>
  <si>
    <t>Age_Months</t>
  </si>
  <si>
    <t>Age_Imaging</t>
  </si>
  <si>
    <t>Age_Years</t>
  </si>
  <si>
    <t>T2</t>
  </si>
  <si>
    <t>Diet</t>
  </si>
  <si>
    <t>fMRI</t>
  </si>
  <si>
    <t>invivoDWI</t>
  </si>
  <si>
    <t>Cardiac_ID</t>
  </si>
  <si>
    <t>MicroCT_ID</t>
  </si>
  <si>
    <t>Femur_Scan</t>
  </si>
  <si>
    <t>Lifestyle</t>
  </si>
  <si>
    <t>Assigned_Gp</t>
  </si>
  <si>
    <t>TurnerClearance</t>
  </si>
  <si>
    <t>Turner</t>
  </si>
  <si>
    <t>CVN</t>
  </si>
  <si>
    <t>female</t>
  </si>
  <si>
    <t>260113_2</t>
  </si>
  <si>
    <t>B26011302</t>
  </si>
  <si>
    <t>260113_3</t>
  </si>
  <si>
    <t>B26011303</t>
  </si>
  <si>
    <t>260113_4</t>
  </si>
  <si>
    <t>260114_1</t>
  </si>
  <si>
    <t>B26011401</t>
  </si>
  <si>
    <t>male</t>
  </si>
  <si>
    <t>260114_2</t>
  </si>
  <si>
    <t>B26011402</t>
  </si>
  <si>
    <t>260114_3</t>
  </si>
  <si>
    <t>B26011403</t>
  </si>
  <si>
    <t>Badea</t>
  </si>
  <si>
    <t>260115_1</t>
  </si>
  <si>
    <t>B26011501</t>
  </si>
  <si>
    <t>APOE33HN</t>
  </si>
  <si>
    <t xml:space="preserve">female </t>
  </si>
  <si>
    <t>260115_2</t>
  </si>
  <si>
    <t>260115_3</t>
  </si>
  <si>
    <t>A26011503</t>
  </si>
  <si>
    <t>260116_1</t>
  </si>
  <si>
    <t>B26011601</t>
  </si>
  <si>
    <t>A26011601</t>
  </si>
  <si>
    <t>Animal Numbers:</t>
  </si>
  <si>
    <t>***********************</t>
  </si>
  <si>
    <t> Cage #: 1753680</t>
  </si>
  <si>
    <t> Rack #: 3</t>
  </si>
  <si>
    <t> # Animals: 4</t>
  </si>
  <si>
    <t> Cage #: 1745137</t>
  </si>
  <si>
    <t> Cage #: 1753679</t>
  </si>
  <si>
    <t> # Animals: 5</t>
  </si>
  <si>
    <t> Cage #: 1772389</t>
  </si>
  <si>
    <t> # Animals: 2</t>
  </si>
  <si>
    <t>EarMark</t>
  </si>
  <si>
    <t>260115_5</t>
  </si>
  <si>
    <t>Scan Date</t>
  </si>
  <si>
    <t>Contrast</t>
  </si>
  <si>
    <t>260115_4</t>
  </si>
  <si>
    <t>IV</t>
  </si>
  <si>
    <t>CM</t>
  </si>
  <si>
    <t>C26011303</t>
  </si>
  <si>
    <t>B26012101</t>
  </si>
  <si>
    <t>Comments_1</t>
  </si>
  <si>
    <t>Comments_2</t>
  </si>
  <si>
    <t>Metadata mislabelled as 260114_2</t>
  </si>
  <si>
    <t>Recorded on same page as 260113_2</t>
  </si>
  <si>
    <t>"Weight issues"</t>
  </si>
  <si>
    <t>B26011303b</t>
  </si>
  <si>
    <t>Arunno_or_Crunno</t>
  </si>
  <si>
    <t>Metadata typo in animal id: "20114_2"</t>
  </si>
  <si>
    <t>B26012202</t>
  </si>
  <si>
    <t>C26011402</t>
  </si>
  <si>
    <t>B26012200</t>
  </si>
  <si>
    <t>Replacement for …? "original died"</t>
  </si>
  <si>
    <t>B26012901</t>
  </si>
  <si>
    <t>C26011401</t>
  </si>
  <si>
    <t>Image_QA</t>
  </si>
  <si>
    <t>QA Notes</t>
  </si>
  <si>
    <t>B26012903</t>
  </si>
  <si>
    <t>C26011403</t>
  </si>
  <si>
    <t>B26011500</t>
  </si>
  <si>
    <t>Died roughly 1 hour into scan (@12:18pm)</t>
  </si>
  <si>
    <t>---</t>
  </si>
  <si>
    <t>----</t>
  </si>
  <si>
    <t>Was originally thought to be APOE33HN</t>
  </si>
  <si>
    <t>B26013001</t>
  </si>
  <si>
    <t>C26011501</t>
  </si>
  <si>
    <t>B26013000</t>
  </si>
  <si>
    <t>B26013002</t>
  </si>
  <si>
    <t>B26011600</t>
  </si>
  <si>
    <t>B26020400</t>
  </si>
  <si>
    <t>No contrast agent got in!</t>
  </si>
  <si>
    <t>A26011505</t>
  </si>
  <si>
    <t>B26011602</t>
  </si>
  <si>
    <t>B26020402</t>
  </si>
  <si>
    <t>260116_4</t>
  </si>
  <si>
    <t>A26011604</t>
  </si>
  <si>
    <t>B26020900</t>
  </si>
  <si>
    <t>Anesthesia not working thru most of scan. Major motion</t>
  </si>
  <si>
    <t>260120_1</t>
  </si>
  <si>
    <t>B26012000</t>
  </si>
  <si>
    <t>A26012001</t>
  </si>
  <si>
    <t>260120_2</t>
  </si>
  <si>
    <t>A26012002</t>
  </si>
  <si>
    <t>Check DOB: 6/1/25 or 4/1/25?</t>
  </si>
  <si>
    <t>B26012006</t>
  </si>
  <si>
    <t xml:space="preserve"> </t>
  </si>
  <si>
    <t>260120_5</t>
  </si>
  <si>
    <t>B26012005</t>
  </si>
  <si>
    <t>A26012005</t>
  </si>
  <si>
    <t>B26020901</t>
  </si>
  <si>
    <t>260121_1</t>
  </si>
  <si>
    <t>B26012100</t>
  </si>
  <si>
    <t>A26012101</t>
  </si>
  <si>
    <t>B26020401</t>
  </si>
  <si>
    <t>B26021002</t>
  </si>
  <si>
    <t>"Good injection"</t>
  </si>
  <si>
    <t>260120_3</t>
  </si>
  <si>
    <t>Little to no injection</t>
  </si>
  <si>
    <t>260211_1</t>
  </si>
  <si>
    <t>B26021001</t>
  </si>
  <si>
    <t>CM:</t>
  </si>
  <si>
    <t>APOE</t>
  </si>
  <si>
    <t>total</t>
  </si>
  <si>
    <t>IV:</t>
  </si>
  <si>
    <t>Prelim counts:</t>
  </si>
  <si>
    <t>B25100900</t>
  </si>
  <si>
    <t>Dev</t>
  </si>
  <si>
    <t>100925_1</t>
  </si>
  <si>
    <t>"No injection -- just little? Or leakage?"</t>
  </si>
  <si>
    <t>No DCE</t>
  </si>
  <si>
    <t>B25101600</t>
  </si>
  <si>
    <t>251009_4</t>
  </si>
  <si>
    <t>No DCE?</t>
  </si>
  <si>
    <t>251009_1</t>
  </si>
  <si>
    <t>B25103000</t>
  </si>
  <si>
    <t>251009_2</t>
  </si>
  <si>
    <t>251211_1</t>
  </si>
  <si>
    <t>B25121101</t>
  </si>
  <si>
    <t>251211_2</t>
  </si>
  <si>
    <t>B25121102</t>
  </si>
  <si>
    <t>First instance of Block 1</t>
  </si>
  <si>
    <t>Possibly usable IV data</t>
  </si>
  <si>
    <t>Possibly usable CM data</t>
  </si>
  <si>
    <t>B25121801</t>
  </si>
  <si>
    <t>C25121102</t>
  </si>
  <si>
    <t>C26011302</t>
  </si>
  <si>
    <t>V26011303</t>
  </si>
  <si>
    <t>V26011401</t>
  </si>
  <si>
    <t>V26011402</t>
  </si>
  <si>
    <t>V26011403</t>
  </si>
  <si>
    <t>V26011304</t>
  </si>
  <si>
    <t>V26011501</t>
  </si>
  <si>
    <t>V26011504</t>
  </si>
  <si>
    <t>V26011502</t>
  </si>
  <si>
    <t>V25121102</t>
  </si>
  <si>
    <t>P26011505</t>
  </si>
  <si>
    <t>P26011601</t>
  </si>
  <si>
    <t>P26011604</t>
  </si>
  <si>
    <t>P26012002</t>
  </si>
  <si>
    <t>P26012005</t>
  </si>
  <si>
    <t>P26012101</t>
  </si>
  <si>
    <t>P26012003</t>
  </si>
  <si>
    <t>P26021101</t>
  </si>
  <si>
    <t>Baseline</t>
  </si>
  <si>
    <t>Block1</t>
  </si>
  <si>
    <t>Block2</t>
  </si>
  <si>
    <t>MISSING</t>
  </si>
  <si>
    <t>Isotropic T2Rare (scanno 23) is in Bruker folder B26011303, but should be coregistered to thick slice T2Rare (scanno 2) in B26011303b--did this manually when moving file to 'all_niis', 16 February 2026</t>
  </si>
  <si>
    <t>Usable</t>
  </si>
  <si>
    <t>Possibly usable</t>
  </si>
  <si>
    <t>Block2 Unusable</t>
  </si>
  <si>
    <t>Was this the 'needle in too far' mouse? T2 needs coregistration</t>
  </si>
  <si>
    <t>Slight Possibility It's Usable</t>
  </si>
  <si>
    <t>Needs coregistration</t>
  </si>
  <si>
    <t xml:space="preserve">CSF never lights up; Extreme motion around 27-30 in block2, may be able to fix by omitting and coregistation (and proper accounting) </t>
  </si>
  <si>
    <t>No dynamics observed; Block2 needs coregistration, volume needs to be thrown out</t>
  </si>
  <si>
    <t>Unusually large ventricles</t>
  </si>
  <si>
    <t>Non-usable</t>
  </si>
  <si>
    <t>Good, but motion in Block1, vols ~22-38 needs to be addressed</t>
  </si>
  <si>
    <r>
      <rPr>
        <b/>
        <sz val="14"/>
        <color theme="1"/>
        <rFont val="Aptos Narrow"/>
        <scheme val="minor"/>
      </rPr>
      <t>Usabl</t>
    </r>
    <r>
      <rPr>
        <sz val="14"/>
        <color theme="1"/>
        <rFont val="Aptos Narrow"/>
        <scheme val="minor"/>
      </rPr>
      <t>e</t>
    </r>
  </si>
  <si>
    <t>Still usuble even without block2</t>
  </si>
  <si>
    <t>Last few volumes of Block2 need to be discarded</t>
  </si>
  <si>
    <t>Very good dynamics</t>
  </si>
  <si>
    <t>Significant motion in Block1, omission and coregistration might salvage some data.</t>
  </si>
  <si>
    <t>Possibly usable with good coregistration, etc</t>
  </si>
  <si>
    <t>Interesting dynamics..</t>
  </si>
  <si>
    <t>Block 2 has motion; need coregistration and to throw out some volumes</t>
  </si>
  <si>
    <t>No dynamics??</t>
  </si>
  <si>
    <t>Block2 needs coregistration and omission of some volumes</t>
  </si>
  <si>
    <t>Ventricles never light up</t>
  </si>
  <si>
    <t>Possibly usable after coregistration</t>
  </si>
  <si>
    <t>Needs coregistration and perhaps omit a few volumes (Block1), dynamics present</t>
  </si>
  <si>
    <t>Needs coregistration, esp Block 2</t>
  </si>
  <si>
    <t>B26040803</t>
  </si>
  <si>
    <t>B26040804</t>
  </si>
  <si>
    <t>B26040801</t>
  </si>
  <si>
    <t>B26041401</t>
  </si>
  <si>
    <t>B26041601</t>
  </si>
  <si>
    <t>B26041602</t>
  </si>
  <si>
    <t>B26042200</t>
  </si>
  <si>
    <t>B26042201</t>
  </si>
  <si>
    <t>B25042300</t>
  </si>
  <si>
    <t>B25042301</t>
  </si>
  <si>
    <t>B26042900</t>
  </si>
  <si>
    <t>B26042901</t>
  </si>
  <si>
    <t>B26043000</t>
  </si>
  <si>
    <t>B26043001</t>
  </si>
  <si>
    <t>2.2G total</t>
  </si>
  <si>
    <t>4.7G total</t>
  </si>
  <si>
    <t>4.5G total</t>
  </si>
  <si>
    <t>1.3G total</t>
  </si>
  <si>
    <t>3.2G total</t>
  </si>
  <si>
    <t>260408_2</t>
  </si>
  <si>
    <t>260408_4</t>
  </si>
  <si>
    <t>A26040804</t>
  </si>
  <si>
    <t>P26040804</t>
  </si>
  <si>
    <t>260408_3</t>
  </si>
  <si>
    <t>Died 30 minutes before end of study</t>
  </si>
  <si>
    <t>Two RARE images, with 44 being 1/2 the size of 34</t>
  </si>
  <si>
    <t>260408_1</t>
  </si>
  <si>
    <t>A26040802</t>
  </si>
  <si>
    <t>A26040803</t>
  </si>
  <si>
    <t>A26040801</t>
  </si>
  <si>
    <t>Blocks 1 and 2 appear to be incomplete or missing</t>
  </si>
  <si>
    <t>260414_1</t>
  </si>
  <si>
    <t>A26041401</t>
  </si>
  <si>
    <t>A26041601</t>
  </si>
  <si>
    <t>260416_1</t>
  </si>
  <si>
    <t>260416_2</t>
  </si>
  <si>
    <t>A26041602</t>
  </si>
  <si>
    <t>Block 2 missing?</t>
  </si>
  <si>
    <t>260422_1</t>
  </si>
  <si>
    <t>C26042201</t>
  </si>
  <si>
    <t>260422_2</t>
  </si>
  <si>
    <t>C26042202</t>
  </si>
  <si>
    <t>V26042201</t>
  </si>
  <si>
    <t>Died during Block 2</t>
  </si>
  <si>
    <t>V26042202</t>
  </si>
  <si>
    <t>260423_1</t>
  </si>
  <si>
    <t>C26042301</t>
  </si>
  <si>
    <t>V26042301</t>
  </si>
  <si>
    <t>260423_2</t>
  </si>
  <si>
    <t>C26042302</t>
  </si>
  <si>
    <t>V26042302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</si>
</sst>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5"/>
      <color rgb="FF242424"/>
      <name val="Helvetica Neue"/>
      <family val="2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8"/>
      <name val="Aptos Narrow"/>
      <family val="2"/>
      <scheme val="minor"/>
    </font>
    <font>
      <sz val="14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3" borderId="1" xfId="0" applyFont="1" applyFill="1" applyBorder="1"/>
    <xf numFmtId="14" fontId="3" fillId="3" borderId="1" xfId="0" applyNumberFormat="1" applyFont="1" applyFill="1" applyBorder="1"/>
    <xf numFmtId="2" fontId="3" fillId="3" borderId="1" xfId="0" applyNumberFormat="1" applyFont="1" applyFill="1" applyBorder="1"/>
    <xf numFmtId="0" fontId="2" fillId="3" borderId="1" xfId="0" applyFont="1" applyFill="1" applyBorder="1"/>
    <xf numFmtId="14" fontId="2" fillId="3" borderId="1" xfId="0" applyNumberFormat="1" applyFont="1" applyFill="1" applyBorder="1"/>
    <xf numFmtId="2" fontId="2" fillId="3" borderId="1" xfId="0" applyNumberFormat="1" applyFont="1" applyFill="1" applyBorder="1"/>
    <xf numFmtId="0" fontId="2" fillId="2" borderId="1" xfId="0" applyFont="1" applyFill="1" applyBorder="1"/>
    <xf numFmtId="14" fontId="2" fillId="2" borderId="1" xfId="0" applyNumberFormat="1" applyFont="1" applyFill="1" applyBorder="1"/>
    <xf numFmtId="2" fontId="2" fillId="2" borderId="1" xfId="0" applyNumberFormat="1" applyFont="1" applyFill="1" applyBorder="1"/>
    <xf numFmtId="14" fontId="2" fillId="0" borderId="1" xfId="0" applyNumberFormat="1" applyFont="1" applyBorder="1"/>
    <xf numFmtId="0" fontId="2" fillId="0" borderId="0" xfId="0" applyFont="1"/>
    <xf numFmtId="2" fontId="3" fillId="3" borderId="0" xfId="0" applyNumberFormat="1" applyFont="1" applyFill="1"/>
    <xf numFmtId="2" fontId="2" fillId="3" borderId="0" xfId="0" applyNumberFormat="1" applyFont="1" applyFill="1"/>
    <xf numFmtId="2" fontId="2" fillId="2" borderId="0" xfId="0" applyNumberFormat="1" applyFont="1" applyFill="1"/>
    <xf numFmtId="1" fontId="2" fillId="0" borderId="0" xfId="0" applyNumberFormat="1" applyFont="1"/>
    <xf numFmtId="1" fontId="3" fillId="3" borderId="0" xfId="0" applyNumberFormat="1" applyFont="1" applyFill="1"/>
    <xf numFmtId="1" fontId="2" fillId="3" borderId="0" xfId="0" applyNumberFormat="1" applyFont="1" applyFill="1"/>
    <xf numFmtId="1" fontId="2" fillId="2" borderId="0" xfId="0" applyNumberFormat="1" applyFont="1" applyFill="1"/>
    <xf numFmtId="0" fontId="3" fillId="2" borderId="1" xfId="0" applyFont="1" applyFill="1" applyBorder="1"/>
    <xf numFmtId="14" fontId="3" fillId="2" borderId="1" xfId="0" applyNumberFormat="1" applyFont="1" applyFill="1" applyBorder="1"/>
    <xf numFmtId="2" fontId="3" fillId="2" borderId="1" xfId="0" applyNumberFormat="1" applyFont="1" applyFill="1" applyBorder="1"/>
    <xf numFmtId="1" fontId="3" fillId="2" borderId="0" xfId="0" applyNumberFormat="1" applyFont="1" applyFill="1"/>
    <xf numFmtId="2" fontId="3" fillId="2" borderId="0" xfId="0" applyNumberFormat="1" applyFont="1" applyFill="1"/>
    <xf numFmtId="0" fontId="2" fillId="2" borderId="1" xfId="0" quotePrefix="1" applyFont="1" applyFill="1" applyBorder="1"/>
    <xf numFmtId="14" fontId="2" fillId="2" borderId="1" xfId="0" quotePrefix="1" applyNumberFormat="1" applyFont="1" applyFill="1" applyBorder="1"/>
    <xf numFmtId="0" fontId="2" fillId="2" borderId="0" xfId="0" applyFont="1" applyFill="1"/>
    <xf numFmtId="14" fontId="2" fillId="2" borderId="0" xfId="0" applyNumberFormat="1" applyFont="1" applyFill="1"/>
    <xf numFmtId="0" fontId="3" fillId="3" borderId="0" xfId="0" applyFont="1" applyFill="1"/>
    <xf numFmtId="0" fontId="2" fillId="3" borderId="0" xfId="0" applyFont="1" applyFill="1"/>
    <xf numFmtId="0" fontId="3" fillId="2" borderId="0" xfId="0" applyFont="1" applyFill="1"/>
    <xf numFmtId="14" fontId="2" fillId="0" borderId="0" xfId="0" applyNumberFormat="1" applyFont="1"/>
    <xf numFmtId="14" fontId="2" fillId="3" borderId="0" xfId="0" applyNumberFormat="1" applyFont="1" applyFill="1"/>
    <xf numFmtId="2" fontId="2" fillId="2" borderId="0" xfId="0" quotePrefix="1" applyNumberFormat="1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DD44-FC73-C044-A196-AFED27C59F6D}">
  <sheetPr>
    <pageSetUpPr fitToPage="1"/>
  </sheetPr>
  <dimension ref="A1:AW73"/>
  <sheetViews>
    <sheetView tabSelected="1" topLeftCell="D1" zoomScale="159" zoomScaleNormal="159" workbookViewId="0">
      <pane ySplit="1" topLeftCell="A28" activePane="bottomLeft" state="frozen"/>
      <selection activeCell="E1" sqref="E1"/>
      <selection pane="bottomLeft" activeCell="E47" sqref="E47"/>
    </sheetView>
  </sheetViews>
  <sheetFormatPr baseColWidth="10" defaultRowHeight="19" x14ac:dyDescent="0.25"/>
  <cols>
    <col min="1" max="1" width="17.6640625" style="13" customWidth="1"/>
    <col min="2" max="2" width="14.1640625" style="13" hidden="1" customWidth="1"/>
    <col min="3" max="3" width="0" style="13" hidden="1" customWidth="1"/>
    <col min="4" max="6" width="10.83203125" style="13"/>
    <col min="7" max="7" width="15.1640625" style="13" customWidth="1"/>
    <col min="8" max="8" width="18.1640625" style="13" customWidth="1"/>
    <col min="9" max="9" width="24.33203125" style="13" customWidth="1"/>
    <col min="10" max="10" width="16.33203125" style="13" customWidth="1"/>
    <col min="11" max="11" width="16.33203125" style="33" customWidth="1"/>
    <col min="12" max="12" width="16.33203125" style="13" customWidth="1"/>
    <col min="13" max="24" width="10.83203125" style="13"/>
    <col min="25" max="25" width="26.33203125" style="17" bestFit="1" customWidth="1"/>
    <col min="26" max="26" width="21.1640625" style="13" bestFit="1" customWidth="1"/>
    <col min="27" max="27" width="11.6640625" style="13" customWidth="1"/>
    <col min="28" max="28" width="22" style="13" customWidth="1"/>
    <col min="29" max="16384" width="10.83203125" style="13"/>
  </cols>
  <sheetData>
    <row r="1" spans="1:4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77</v>
      </c>
      <c r="I1" s="2" t="s">
        <v>62</v>
      </c>
      <c r="J1" s="2" t="s">
        <v>7</v>
      </c>
      <c r="K1" s="12" t="s">
        <v>64</v>
      </c>
      <c r="L1" s="2" t="s">
        <v>65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17" t="s">
        <v>173</v>
      </c>
      <c r="V1" s="17" t="s">
        <v>174</v>
      </c>
      <c r="W1" s="17" t="s">
        <v>175</v>
      </c>
      <c r="X1" s="17" t="s">
        <v>16</v>
      </c>
      <c r="Y1" s="17" t="s">
        <v>85</v>
      </c>
      <c r="Z1" s="13" t="s">
        <v>86</v>
      </c>
      <c r="AA1" s="13" t="s">
        <v>71</v>
      </c>
      <c r="AB1" s="13" t="s">
        <v>72</v>
      </c>
      <c r="AP1" s="13" t="s">
        <v>18</v>
      </c>
      <c r="AQ1" s="13" t="s">
        <v>19</v>
      </c>
      <c r="AR1" s="13" t="s">
        <v>20</v>
      </c>
      <c r="AS1" s="13" t="s">
        <v>21</v>
      </c>
      <c r="AT1" s="13" t="s">
        <v>22</v>
      </c>
      <c r="AU1" s="13" t="s">
        <v>23</v>
      </c>
      <c r="AV1" s="13" t="s">
        <v>17</v>
      </c>
      <c r="AW1" s="13" t="s">
        <v>24</v>
      </c>
    </row>
    <row r="2" spans="1:4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12"/>
      <c r="L2" s="2"/>
      <c r="M2" s="2"/>
      <c r="N2" s="2"/>
      <c r="O2" s="2"/>
      <c r="P2" s="2"/>
      <c r="Q2" s="2"/>
      <c r="R2" s="2"/>
      <c r="S2" s="2"/>
      <c r="T2" s="2"/>
      <c r="U2" s="17"/>
      <c r="V2" s="17"/>
      <c r="W2" s="17"/>
      <c r="X2" s="17"/>
    </row>
    <row r="3" spans="1:49" s="30" customFormat="1" x14ac:dyDescent="0.25">
      <c r="A3" s="3" t="s">
        <v>25</v>
      </c>
      <c r="B3" s="3"/>
      <c r="C3" s="3"/>
      <c r="D3" s="3" t="s">
        <v>26</v>
      </c>
      <c r="E3" s="3" t="s">
        <v>29</v>
      </c>
      <c r="F3" s="3" t="s">
        <v>29</v>
      </c>
      <c r="G3" s="3" t="s">
        <v>30</v>
      </c>
      <c r="H3" s="3" t="s">
        <v>155</v>
      </c>
      <c r="I3" s="3"/>
      <c r="J3" s="3" t="s">
        <v>29</v>
      </c>
      <c r="K3" s="4">
        <v>46035</v>
      </c>
      <c r="L3" s="3" t="s">
        <v>67</v>
      </c>
      <c r="M3" s="3" t="s">
        <v>27</v>
      </c>
      <c r="N3" s="3" t="s">
        <v>28</v>
      </c>
      <c r="O3" s="4">
        <v>45691</v>
      </c>
      <c r="P3" s="3">
        <v>23</v>
      </c>
      <c r="Q3" s="4">
        <v>46035</v>
      </c>
      <c r="R3" s="5">
        <f t="shared" ref="R3:R5" si="0">12*YEARFRAC(O3,Q3)</f>
        <v>11.333333333333332</v>
      </c>
      <c r="S3" s="3"/>
      <c r="T3" s="5">
        <f t="shared" ref="T3:T12" si="1">YEARFRAC(O3,Q3)</f>
        <v>0.94444444444444442</v>
      </c>
      <c r="U3" s="18">
        <v>2</v>
      </c>
      <c r="V3" s="18">
        <v>3</v>
      </c>
      <c r="W3" s="18">
        <v>4</v>
      </c>
      <c r="X3" s="18">
        <v>8</v>
      </c>
      <c r="Y3" s="18" t="s">
        <v>178</v>
      </c>
      <c r="Z3" s="14"/>
      <c r="AA3" s="14"/>
      <c r="AB3" s="14"/>
    </row>
    <row r="4" spans="1:49" s="30" customForma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3"/>
      <c r="O4" s="4"/>
      <c r="P4" s="3"/>
      <c r="Q4" s="4"/>
      <c r="R4" s="5"/>
      <c r="S4" s="3"/>
      <c r="T4" s="5"/>
      <c r="U4" s="18"/>
      <c r="V4" s="18"/>
      <c r="W4" s="18"/>
      <c r="X4" s="18"/>
      <c r="Y4" s="18"/>
      <c r="Z4" s="14"/>
      <c r="AA4" s="14"/>
      <c r="AB4" s="14"/>
    </row>
    <row r="5" spans="1:49" s="30" customFormat="1" x14ac:dyDescent="0.25">
      <c r="A5" s="3" t="s">
        <v>25</v>
      </c>
      <c r="B5" s="3"/>
      <c r="C5" s="3"/>
      <c r="D5" s="3" t="s">
        <v>26</v>
      </c>
      <c r="E5" s="3" t="s">
        <v>31</v>
      </c>
      <c r="F5" s="3" t="s">
        <v>31</v>
      </c>
      <c r="G5" s="3" t="s">
        <v>76</v>
      </c>
      <c r="H5" s="3" t="s">
        <v>69</v>
      </c>
      <c r="I5" s="3"/>
      <c r="J5" s="3" t="s">
        <v>31</v>
      </c>
      <c r="K5" s="4">
        <v>46035</v>
      </c>
      <c r="L5" s="3" t="s">
        <v>67</v>
      </c>
      <c r="M5" s="3" t="s">
        <v>27</v>
      </c>
      <c r="N5" s="3" t="s">
        <v>28</v>
      </c>
      <c r="O5" s="4">
        <v>45691</v>
      </c>
      <c r="P5" s="3">
        <v>25</v>
      </c>
      <c r="Q5" s="4">
        <v>46035</v>
      </c>
      <c r="R5" s="5">
        <f t="shared" si="0"/>
        <v>11.333333333333332</v>
      </c>
      <c r="S5" s="3"/>
      <c r="T5" s="5">
        <f t="shared" si="1"/>
        <v>0.94444444444444442</v>
      </c>
      <c r="U5" s="18">
        <v>8</v>
      </c>
      <c r="V5" s="18">
        <v>9</v>
      </c>
      <c r="W5" s="18">
        <v>10</v>
      </c>
      <c r="X5" s="18">
        <v>2</v>
      </c>
      <c r="Y5" s="18"/>
      <c r="Z5" s="14"/>
      <c r="AA5" s="14" t="s">
        <v>75</v>
      </c>
      <c r="AB5" s="14" t="s">
        <v>177</v>
      </c>
    </row>
    <row r="6" spans="1:49" s="30" customFormat="1" x14ac:dyDescent="0.25">
      <c r="A6" s="3"/>
      <c r="B6" s="3"/>
      <c r="C6" s="3"/>
      <c r="D6" s="3"/>
      <c r="E6" s="3" t="s">
        <v>31</v>
      </c>
      <c r="F6" s="3" t="s">
        <v>31</v>
      </c>
      <c r="G6" s="3" t="s">
        <v>32</v>
      </c>
      <c r="H6" s="3" t="s">
        <v>69</v>
      </c>
      <c r="I6" s="3"/>
      <c r="J6" s="3" t="s">
        <v>31</v>
      </c>
      <c r="K6" s="4">
        <v>46035</v>
      </c>
      <c r="L6" s="3" t="s">
        <v>67</v>
      </c>
      <c r="M6" s="3" t="s">
        <v>27</v>
      </c>
      <c r="N6" s="3" t="s">
        <v>28</v>
      </c>
      <c r="O6" s="4"/>
      <c r="P6" s="3"/>
      <c r="Q6" s="4"/>
      <c r="R6" s="5"/>
      <c r="S6" s="3"/>
      <c r="T6" s="5"/>
      <c r="U6" s="18">
        <v>8</v>
      </c>
      <c r="V6" s="18">
        <v>9</v>
      </c>
      <c r="W6" s="18">
        <v>10</v>
      </c>
      <c r="X6" s="18">
        <v>23</v>
      </c>
      <c r="Y6" s="18" t="s">
        <v>178</v>
      </c>
      <c r="Z6" s="14" t="s">
        <v>183</v>
      </c>
      <c r="AA6" s="14"/>
      <c r="AB6" s="14"/>
    </row>
    <row r="7" spans="1:49" s="30" customFormat="1" x14ac:dyDescent="0.25">
      <c r="A7" s="3"/>
      <c r="B7" s="3"/>
      <c r="C7" s="3"/>
      <c r="D7" s="3"/>
      <c r="E7" s="3" t="s">
        <v>31</v>
      </c>
      <c r="F7" s="3" t="s">
        <v>31</v>
      </c>
      <c r="G7" s="3" t="s">
        <v>70</v>
      </c>
      <c r="H7" s="3" t="s">
        <v>156</v>
      </c>
      <c r="I7" s="3"/>
      <c r="J7" s="3" t="s">
        <v>31</v>
      </c>
      <c r="K7" s="4">
        <v>46043</v>
      </c>
      <c r="L7" s="3" t="s">
        <v>68</v>
      </c>
      <c r="M7" s="3" t="s">
        <v>27</v>
      </c>
      <c r="N7" s="3" t="s">
        <v>28</v>
      </c>
      <c r="O7" s="4"/>
      <c r="P7" s="3"/>
      <c r="Q7" s="4"/>
      <c r="R7" s="5"/>
      <c r="S7" s="3"/>
      <c r="T7" s="5"/>
      <c r="U7" s="18">
        <v>8</v>
      </c>
      <c r="V7" s="18">
        <v>9</v>
      </c>
      <c r="W7" s="18">
        <v>10</v>
      </c>
      <c r="X7" s="18">
        <v>7</v>
      </c>
      <c r="Y7" s="19" t="s">
        <v>187</v>
      </c>
      <c r="Z7" s="14" t="s">
        <v>184</v>
      </c>
      <c r="AA7" s="14" t="s">
        <v>73</v>
      </c>
      <c r="AB7" s="14" t="s">
        <v>74</v>
      </c>
    </row>
    <row r="8" spans="1:49" s="30" customFormat="1" x14ac:dyDescent="0.25">
      <c r="A8" s="3" t="s">
        <v>25</v>
      </c>
      <c r="B8" s="3"/>
      <c r="C8" s="3"/>
      <c r="D8" s="3" t="s">
        <v>26</v>
      </c>
      <c r="E8" s="3" t="s">
        <v>34</v>
      </c>
      <c r="F8" s="3" t="s">
        <v>34</v>
      </c>
      <c r="G8" s="3" t="s">
        <v>35</v>
      </c>
      <c r="H8" s="3" t="s">
        <v>84</v>
      </c>
      <c r="I8" s="3"/>
      <c r="J8" s="3" t="s">
        <v>34</v>
      </c>
      <c r="K8" s="4">
        <v>46036</v>
      </c>
      <c r="L8" s="3" t="s">
        <v>67</v>
      </c>
      <c r="M8" s="3" t="s">
        <v>27</v>
      </c>
      <c r="N8" s="3" t="s">
        <v>36</v>
      </c>
      <c r="O8" s="4">
        <v>45691</v>
      </c>
      <c r="P8" s="3">
        <v>32</v>
      </c>
      <c r="Q8" s="4">
        <v>46035</v>
      </c>
      <c r="R8" s="5">
        <f>12*YEARFRAC(O8,Q8)</f>
        <v>11.333333333333332</v>
      </c>
      <c r="S8" s="3"/>
      <c r="T8" s="5">
        <f t="shared" si="1"/>
        <v>0.94444444444444442</v>
      </c>
      <c r="U8" s="18">
        <v>8</v>
      </c>
      <c r="V8" s="18">
        <v>9</v>
      </c>
      <c r="W8" s="18">
        <v>10</v>
      </c>
      <c r="X8" s="18">
        <v>14</v>
      </c>
      <c r="Y8" s="18" t="s">
        <v>178</v>
      </c>
      <c r="Z8" s="14" t="s">
        <v>186</v>
      </c>
      <c r="AA8" s="14"/>
      <c r="AB8" s="14"/>
    </row>
    <row r="9" spans="1:49" s="30" customFormat="1" x14ac:dyDescent="0.25">
      <c r="A9" s="3"/>
      <c r="B9" s="3"/>
      <c r="C9" s="3"/>
      <c r="D9" s="3"/>
      <c r="E9" s="3" t="s">
        <v>34</v>
      </c>
      <c r="F9" s="3" t="s">
        <v>34</v>
      </c>
      <c r="G9" s="3" t="s">
        <v>83</v>
      </c>
      <c r="H9" s="3" t="s">
        <v>157</v>
      </c>
      <c r="I9" s="3"/>
      <c r="J9" s="3" t="s">
        <v>34</v>
      </c>
      <c r="K9" s="4">
        <v>46051</v>
      </c>
      <c r="L9" s="3" t="s">
        <v>68</v>
      </c>
      <c r="M9" s="3" t="s">
        <v>27</v>
      </c>
      <c r="N9" s="3" t="s">
        <v>36</v>
      </c>
      <c r="O9" s="4"/>
      <c r="P9" s="3"/>
      <c r="Q9" s="4"/>
      <c r="R9" s="5"/>
      <c r="S9" s="3"/>
      <c r="T9" s="5"/>
      <c r="U9" s="18">
        <v>8</v>
      </c>
      <c r="V9" s="18">
        <v>9</v>
      </c>
      <c r="W9" s="18">
        <v>10</v>
      </c>
      <c r="X9" s="18">
        <v>7</v>
      </c>
      <c r="Y9" s="18" t="s">
        <v>194</v>
      </c>
      <c r="Z9" s="14" t="s">
        <v>193</v>
      </c>
      <c r="AA9" s="14"/>
      <c r="AB9" s="14"/>
    </row>
    <row r="10" spans="1:49" s="30" customFormat="1" x14ac:dyDescent="0.25">
      <c r="A10" s="3" t="s">
        <v>25</v>
      </c>
      <c r="B10" s="3"/>
      <c r="C10" s="3"/>
      <c r="D10" s="3" t="s">
        <v>26</v>
      </c>
      <c r="E10" s="3" t="s">
        <v>37</v>
      </c>
      <c r="F10" s="3" t="s">
        <v>37</v>
      </c>
      <c r="G10" s="3" t="s">
        <v>38</v>
      </c>
      <c r="H10" s="3" t="s">
        <v>80</v>
      </c>
      <c r="I10" s="3"/>
      <c r="J10" s="3" t="s">
        <v>37</v>
      </c>
      <c r="K10" s="4">
        <v>46036</v>
      </c>
      <c r="L10" s="3" t="s">
        <v>67</v>
      </c>
      <c r="M10" s="3" t="s">
        <v>27</v>
      </c>
      <c r="N10" s="3" t="s">
        <v>36</v>
      </c>
      <c r="O10" s="4">
        <v>45691</v>
      </c>
      <c r="P10" s="3">
        <v>29</v>
      </c>
      <c r="Q10" s="4">
        <v>46035</v>
      </c>
      <c r="R10" s="5">
        <f t="shared" ref="R10:R26" si="2">12*YEARFRAC(O10,Q10)</f>
        <v>11.333333333333332</v>
      </c>
      <c r="S10" s="3"/>
      <c r="T10" s="5">
        <f t="shared" si="1"/>
        <v>0.94444444444444442</v>
      </c>
      <c r="U10" s="18">
        <v>8</v>
      </c>
      <c r="V10" s="18">
        <v>9</v>
      </c>
      <c r="W10" s="18">
        <v>10</v>
      </c>
      <c r="X10" s="18">
        <v>7</v>
      </c>
      <c r="Y10" s="18" t="s">
        <v>178</v>
      </c>
      <c r="Z10" s="14" t="s">
        <v>191</v>
      </c>
      <c r="AB10" s="14"/>
    </row>
    <row r="11" spans="1:49" s="30" customFormat="1" x14ac:dyDescent="0.25">
      <c r="A11" s="3"/>
      <c r="B11" s="3"/>
      <c r="C11" s="3"/>
      <c r="D11" s="3"/>
      <c r="E11" s="3" t="s">
        <v>37</v>
      </c>
      <c r="F11" s="3" t="s">
        <v>37</v>
      </c>
      <c r="G11" s="3" t="s">
        <v>79</v>
      </c>
      <c r="H11" s="3" t="s">
        <v>158</v>
      </c>
      <c r="I11" s="3"/>
      <c r="J11" s="3" t="s">
        <v>37</v>
      </c>
      <c r="K11" s="4">
        <v>46044</v>
      </c>
      <c r="L11" s="3" t="s">
        <v>68</v>
      </c>
      <c r="M11" s="3" t="s">
        <v>27</v>
      </c>
      <c r="N11" s="3" t="s">
        <v>36</v>
      </c>
      <c r="O11" s="4"/>
      <c r="P11" s="3"/>
      <c r="Q11" s="4"/>
      <c r="R11" s="5"/>
      <c r="S11" s="3"/>
      <c r="T11" s="5"/>
      <c r="U11" s="18">
        <v>8</v>
      </c>
      <c r="V11" s="18">
        <v>9</v>
      </c>
      <c r="W11" s="18">
        <v>10</v>
      </c>
      <c r="X11" s="18">
        <v>23</v>
      </c>
      <c r="Y11" s="18" t="s">
        <v>178</v>
      </c>
      <c r="Z11" s="14"/>
      <c r="AA11" s="14" t="s">
        <v>78</v>
      </c>
      <c r="AB11" s="14"/>
    </row>
    <row r="12" spans="1:49" s="30" customFormat="1" x14ac:dyDescent="0.25">
      <c r="A12" s="3" t="s">
        <v>25</v>
      </c>
      <c r="B12" s="3"/>
      <c r="C12" s="3"/>
      <c r="D12" s="3" t="s">
        <v>26</v>
      </c>
      <c r="E12" s="3" t="s">
        <v>39</v>
      </c>
      <c r="F12" s="3" t="s">
        <v>39</v>
      </c>
      <c r="G12" s="3" t="s">
        <v>40</v>
      </c>
      <c r="H12" s="3" t="s">
        <v>88</v>
      </c>
      <c r="I12" s="3"/>
      <c r="J12" s="3" t="s">
        <v>39</v>
      </c>
      <c r="K12" s="4">
        <v>46036</v>
      </c>
      <c r="L12" s="3" t="s">
        <v>67</v>
      </c>
      <c r="M12" s="3" t="s">
        <v>27</v>
      </c>
      <c r="N12" s="3" t="s">
        <v>36</v>
      </c>
      <c r="O12" s="4">
        <v>45691</v>
      </c>
      <c r="P12" s="3">
        <v>30</v>
      </c>
      <c r="Q12" s="4">
        <v>46035</v>
      </c>
      <c r="R12" s="5">
        <f t="shared" si="2"/>
        <v>11.333333333333332</v>
      </c>
      <c r="S12" s="3"/>
      <c r="T12" s="5">
        <f t="shared" si="1"/>
        <v>0.94444444444444442</v>
      </c>
      <c r="U12" s="18">
        <v>8</v>
      </c>
      <c r="V12" s="18">
        <v>9</v>
      </c>
      <c r="W12" s="18">
        <v>10</v>
      </c>
      <c r="X12" s="18">
        <v>7</v>
      </c>
      <c r="Y12" s="18" t="s">
        <v>178</v>
      </c>
      <c r="Z12" s="14" t="s">
        <v>195</v>
      </c>
      <c r="AA12" s="14"/>
      <c r="AB12" s="14"/>
    </row>
    <row r="13" spans="1:49" s="30" customFormat="1" x14ac:dyDescent="0.25">
      <c r="A13" s="3"/>
      <c r="B13" s="3"/>
      <c r="C13" s="3"/>
      <c r="D13" s="3"/>
      <c r="E13" s="3" t="s">
        <v>39</v>
      </c>
      <c r="F13" s="3" t="s">
        <v>39</v>
      </c>
      <c r="G13" s="3" t="s">
        <v>87</v>
      </c>
      <c r="H13" s="3" t="s">
        <v>159</v>
      </c>
      <c r="I13" s="3"/>
      <c r="J13" s="3" t="s">
        <v>39</v>
      </c>
      <c r="K13" s="4">
        <v>46051</v>
      </c>
      <c r="L13" s="3" t="s">
        <v>68</v>
      </c>
      <c r="M13" s="3" t="s">
        <v>27</v>
      </c>
      <c r="N13" s="3" t="s">
        <v>36</v>
      </c>
      <c r="O13" s="4"/>
      <c r="P13" s="3"/>
      <c r="Q13" s="4"/>
      <c r="R13" s="5"/>
      <c r="S13" s="3"/>
      <c r="T13" s="5"/>
      <c r="U13" s="18">
        <v>8</v>
      </c>
      <c r="V13" s="18">
        <v>9</v>
      </c>
      <c r="W13" s="18">
        <v>10</v>
      </c>
      <c r="X13" s="18">
        <v>7</v>
      </c>
      <c r="Y13" s="19" t="s">
        <v>187</v>
      </c>
      <c r="Z13" s="14" t="s">
        <v>197</v>
      </c>
      <c r="AA13" s="14"/>
      <c r="AB13" s="14"/>
    </row>
    <row r="14" spans="1:49" s="30" customFormat="1" x14ac:dyDescent="0.25">
      <c r="A14" s="3" t="s">
        <v>25</v>
      </c>
      <c r="B14" s="3"/>
      <c r="C14" s="3"/>
      <c r="D14" s="3" t="s">
        <v>26</v>
      </c>
      <c r="E14" s="3" t="s">
        <v>33</v>
      </c>
      <c r="F14" s="3" t="s">
        <v>33</v>
      </c>
      <c r="G14" s="3" t="s">
        <v>81</v>
      </c>
      <c r="H14" s="3" t="s">
        <v>160</v>
      </c>
      <c r="I14" s="3"/>
      <c r="J14" s="3" t="s">
        <v>33</v>
      </c>
      <c r="K14" s="4">
        <v>46044</v>
      </c>
      <c r="L14" s="3" t="s">
        <v>68</v>
      </c>
      <c r="M14" s="3" t="s">
        <v>27</v>
      </c>
      <c r="N14" s="3" t="s">
        <v>28</v>
      </c>
      <c r="O14" s="4">
        <v>45691</v>
      </c>
      <c r="P14" s="3">
        <v>26</v>
      </c>
      <c r="Q14" s="4">
        <v>46035</v>
      </c>
      <c r="R14" s="5">
        <f>12*YEARFRAC(O14,Q14)</f>
        <v>11.333333333333332</v>
      </c>
      <c r="S14" s="3"/>
      <c r="T14" s="5">
        <f>YEARFRAC(O14,Q14)</f>
        <v>0.94444444444444442</v>
      </c>
      <c r="U14" s="18">
        <v>8</v>
      </c>
      <c r="V14" s="18">
        <v>9</v>
      </c>
      <c r="W14" s="18">
        <v>10</v>
      </c>
      <c r="X14" s="18">
        <v>7</v>
      </c>
      <c r="Y14" s="18" t="s">
        <v>178</v>
      </c>
      <c r="Z14" s="14"/>
      <c r="AA14" s="14" t="s">
        <v>82</v>
      </c>
      <c r="AB14" s="14"/>
    </row>
    <row r="15" spans="1:49" s="31" customForma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7"/>
      <c r="L15" s="6"/>
      <c r="M15" s="3"/>
      <c r="N15" s="6"/>
      <c r="O15" s="7"/>
      <c r="P15" s="6"/>
      <c r="Q15" s="7"/>
      <c r="R15" s="8"/>
      <c r="S15" s="6"/>
      <c r="T15" s="8"/>
      <c r="U15" s="19"/>
      <c r="V15" s="19"/>
      <c r="W15" s="19"/>
      <c r="X15" s="19"/>
      <c r="Y15" s="19"/>
      <c r="Z15" s="15"/>
      <c r="AA15" s="15"/>
      <c r="AB15" s="15"/>
    </row>
    <row r="16" spans="1:49" s="31" customFormat="1" x14ac:dyDescent="0.25">
      <c r="A16" s="6" t="s">
        <v>25</v>
      </c>
      <c r="B16" s="6"/>
      <c r="C16" s="6"/>
      <c r="D16" s="6" t="s">
        <v>41</v>
      </c>
      <c r="E16" s="6" t="s">
        <v>42</v>
      </c>
      <c r="F16" s="6" t="s">
        <v>42</v>
      </c>
      <c r="G16" s="6" t="s">
        <v>43</v>
      </c>
      <c r="H16" s="6" t="s">
        <v>95</v>
      </c>
      <c r="I16" s="6"/>
      <c r="J16" s="6" t="s">
        <v>42</v>
      </c>
      <c r="K16" s="7">
        <v>46037</v>
      </c>
      <c r="L16" s="6" t="s">
        <v>67</v>
      </c>
      <c r="M16" s="3" t="s">
        <v>27</v>
      </c>
      <c r="N16" s="6" t="s">
        <v>45</v>
      </c>
      <c r="O16" s="7">
        <v>45642</v>
      </c>
      <c r="P16" s="6">
        <v>22</v>
      </c>
      <c r="Q16" s="7">
        <v>46037</v>
      </c>
      <c r="R16" s="8">
        <f t="shared" ref="R16:R18" si="3">12*YEARFRAC(O16,Q16)</f>
        <v>12.966666666666665</v>
      </c>
      <c r="S16" s="6"/>
      <c r="T16" s="5">
        <f>YEARFRAC(O16,Q16)</f>
        <v>1.0805555555555555</v>
      </c>
      <c r="U16" s="18">
        <v>8</v>
      </c>
      <c r="V16" s="18">
        <v>9</v>
      </c>
      <c r="W16" s="18">
        <v>10</v>
      </c>
      <c r="X16" s="18">
        <v>7</v>
      </c>
      <c r="Y16" s="18" t="s">
        <v>178</v>
      </c>
      <c r="Z16" s="15" t="s">
        <v>196</v>
      </c>
      <c r="AA16" s="15" t="s">
        <v>93</v>
      </c>
      <c r="AB16" s="15"/>
    </row>
    <row r="17" spans="1:28" s="31" customFormat="1" x14ac:dyDescent="0.25">
      <c r="A17" s="6"/>
      <c r="B17" s="6"/>
      <c r="C17" s="6"/>
      <c r="D17" s="6"/>
      <c r="E17" s="6" t="s">
        <v>42</v>
      </c>
      <c r="F17" s="6" t="s">
        <v>42</v>
      </c>
      <c r="G17" s="6" t="s">
        <v>94</v>
      </c>
      <c r="H17" s="6" t="s">
        <v>161</v>
      </c>
      <c r="I17" s="6"/>
      <c r="J17" s="6" t="s">
        <v>42</v>
      </c>
      <c r="K17" s="7">
        <v>46052</v>
      </c>
      <c r="L17" s="6" t="s">
        <v>68</v>
      </c>
      <c r="M17" s="3" t="s">
        <v>27</v>
      </c>
      <c r="N17" s="6" t="s">
        <v>45</v>
      </c>
      <c r="O17" s="7"/>
      <c r="P17" s="6"/>
      <c r="Q17" s="7"/>
      <c r="R17" s="8"/>
      <c r="S17" s="6"/>
      <c r="T17" s="8"/>
      <c r="U17" s="19">
        <v>8</v>
      </c>
      <c r="V17" s="19">
        <v>9</v>
      </c>
      <c r="W17" s="19">
        <v>10</v>
      </c>
      <c r="X17" s="19">
        <v>7</v>
      </c>
      <c r="Y17" s="18" t="s">
        <v>178</v>
      </c>
      <c r="Z17" s="15"/>
      <c r="AA17" s="15"/>
      <c r="AB17" s="15"/>
    </row>
    <row r="18" spans="1:28" s="31" customFormat="1" x14ac:dyDescent="0.25">
      <c r="A18" s="6" t="s">
        <v>25</v>
      </c>
      <c r="B18" s="6"/>
      <c r="C18" s="6"/>
      <c r="D18" s="6" t="s">
        <v>41</v>
      </c>
      <c r="E18" s="6" t="s">
        <v>66</v>
      </c>
      <c r="F18" s="6" t="s">
        <v>66</v>
      </c>
      <c r="G18" s="6" t="s">
        <v>97</v>
      </c>
      <c r="H18" s="6" t="s">
        <v>162</v>
      </c>
      <c r="I18" s="6"/>
      <c r="J18" s="6" t="s">
        <v>66</v>
      </c>
      <c r="K18" s="7">
        <v>46052</v>
      </c>
      <c r="L18" s="6" t="s">
        <v>68</v>
      </c>
      <c r="M18" s="6" t="s">
        <v>27</v>
      </c>
      <c r="N18" s="6" t="s">
        <v>45</v>
      </c>
      <c r="O18" s="7">
        <v>45642</v>
      </c>
      <c r="P18" s="6">
        <v>24</v>
      </c>
      <c r="Q18" s="7">
        <v>46052</v>
      </c>
      <c r="R18" s="8">
        <f t="shared" si="3"/>
        <v>13.466666666666667</v>
      </c>
      <c r="S18" s="6"/>
      <c r="T18" s="5">
        <f>YEARFRAC(O18,Q18)</f>
        <v>1.1222222222222222</v>
      </c>
      <c r="U18" s="18">
        <v>8</v>
      </c>
      <c r="V18" s="18">
        <v>9</v>
      </c>
      <c r="W18" s="18">
        <v>10</v>
      </c>
      <c r="X18" s="18">
        <v>7</v>
      </c>
      <c r="Y18" s="19" t="s">
        <v>187</v>
      </c>
      <c r="Z18" s="15" t="s">
        <v>199</v>
      </c>
      <c r="AA18" s="15"/>
      <c r="AB18" s="15"/>
    </row>
    <row r="19" spans="1:28" s="28" customForma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10"/>
      <c r="L19" s="9"/>
      <c r="M19" s="9"/>
      <c r="N19" s="9"/>
      <c r="O19" s="10"/>
      <c r="P19" s="9"/>
      <c r="Q19" s="10"/>
      <c r="R19" s="11"/>
      <c r="S19" s="9"/>
      <c r="T19" s="11"/>
      <c r="U19" s="20"/>
      <c r="V19" s="20"/>
      <c r="W19" s="20"/>
      <c r="X19" s="20"/>
      <c r="Y19" s="20"/>
      <c r="Z19" s="16"/>
      <c r="AA19" s="16"/>
      <c r="AB19" s="16"/>
    </row>
    <row r="20" spans="1:28" s="28" customFormat="1" x14ac:dyDescent="0.25">
      <c r="A20" s="9" t="s">
        <v>25</v>
      </c>
      <c r="B20" s="9"/>
      <c r="C20" s="9"/>
      <c r="D20" s="9" t="s">
        <v>41</v>
      </c>
      <c r="E20" s="9" t="s">
        <v>63</v>
      </c>
      <c r="F20" s="9" t="s">
        <v>63</v>
      </c>
      <c r="G20" s="9" t="s">
        <v>98</v>
      </c>
      <c r="H20" s="9" t="s">
        <v>101</v>
      </c>
      <c r="I20" s="9"/>
      <c r="J20" s="9" t="s">
        <v>63</v>
      </c>
      <c r="K20" s="10">
        <v>46038</v>
      </c>
      <c r="L20" s="9" t="s">
        <v>67</v>
      </c>
      <c r="M20" s="9" t="s">
        <v>44</v>
      </c>
      <c r="N20" s="9" t="s">
        <v>45</v>
      </c>
      <c r="O20" s="10">
        <v>45678</v>
      </c>
      <c r="P20" s="9">
        <v>29</v>
      </c>
      <c r="Q20" s="10">
        <v>46037</v>
      </c>
      <c r="R20" s="11">
        <f t="shared" si="2"/>
        <v>11.799999999999999</v>
      </c>
      <c r="S20" s="9"/>
      <c r="T20" s="11">
        <f>YEARFRAC(O20,Q20)</f>
        <v>0.98333333333333328</v>
      </c>
      <c r="U20" s="20">
        <v>8</v>
      </c>
      <c r="V20" s="20">
        <v>9</v>
      </c>
      <c r="W20" s="20">
        <v>10</v>
      </c>
      <c r="X20" s="20">
        <v>7</v>
      </c>
      <c r="Y20" s="24" t="s">
        <v>178</v>
      </c>
      <c r="Z20" s="16" t="s">
        <v>202</v>
      </c>
      <c r="AA20" s="16"/>
      <c r="AB20" s="16"/>
    </row>
    <row r="21" spans="1:28" s="28" customFormat="1" x14ac:dyDescent="0.25">
      <c r="A21" s="9"/>
      <c r="B21" s="9"/>
      <c r="C21" s="9"/>
      <c r="D21" s="9"/>
      <c r="E21" s="9" t="s">
        <v>63</v>
      </c>
      <c r="F21" s="9" t="s">
        <v>63</v>
      </c>
      <c r="G21" s="9" t="s">
        <v>99</v>
      </c>
      <c r="H21" s="9" t="s">
        <v>165</v>
      </c>
      <c r="I21" s="9"/>
      <c r="J21" s="9" t="s">
        <v>63</v>
      </c>
      <c r="K21" s="10">
        <v>46057</v>
      </c>
      <c r="L21" s="9" t="s">
        <v>68</v>
      </c>
      <c r="M21" s="9" t="s">
        <v>44</v>
      </c>
      <c r="N21" s="9" t="s">
        <v>45</v>
      </c>
      <c r="O21" s="10"/>
      <c r="P21" s="9">
        <v>28</v>
      </c>
      <c r="Q21" s="10"/>
      <c r="R21" s="11"/>
      <c r="S21" s="9"/>
      <c r="T21" s="11"/>
      <c r="U21" s="20">
        <v>8</v>
      </c>
      <c r="V21" s="20">
        <v>9</v>
      </c>
      <c r="W21" s="20">
        <v>10</v>
      </c>
      <c r="X21" s="20">
        <v>7</v>
      </c>
      <c r="Y21" s="20" t="s">
        <v>179</v>
      </c>
      <c r="Z21" s="16"/>
      <c r="AA21" s="16" t="s">
        <v>100</v>
      </c>
      <c r="AB21" s="16"/>
    </row>
    <row r="22" spans="1:28" s="31" customFormat="1" x14ac:dyDescent="0.25">
      <c r="A22" s="6" t="s">
        <v>25</v>
      </c>
      <c r="B22" s="6"/>
      <c r="C22" s="6"/>
      <c r="D22" s="6" t="s">
        <v>41</v>
      </c>
      <c r="E22" s="6" t="s">
        <v>46</v>
      </c>
      <c r="F22" s="6" t="s">
        <v>46</v>
      </c>
      <c r="G22" s="6" t="s">
        <v>96</v>
      </c>
      <c r="H22" s="6" t="s">
        <v>163</v>
      </c>
      <c r="I22" s="6"/>
      <c r="J22" s="6" t="s">
        <v>46</v>
      </c>
      <c r="K22" s="7">
        <v>46052</v>
      </c>
      <c r="L22" s="6" t="s">
        <v>68</v>
      </c>
      <c r="M22" s="6" t="s">
        <v>27</v>
      </c>
      <c r="N22" s="6" t="s">
        <v>45</v>
      </c>
      <c r="O22" s="7"/>
      <c r="P22" s="6"/>
      <c r="Q22" s="7"/>
      <c r="R22" s="8">
        <f t="shared" si="2"/>
        <v>0</v>
      </c>
      <c r="S22" s="6"/>
      <c r="T22" s="8">
        <f>YEARFRAC(O22,Q22)</f>
        <v>0</v>
      </c>
      <c r="U22" s="19">
        <v>8</v>
      </c>
      <c r="V22" s="19">
        <v>9</v>
      </c>
      <c r="W22" s="19">
        <v>10</v>
      </c>
      <c r="X22" s="19">
        <v>7</v>
      </c>
      <c r="Y22" s="18" t="s">
        <v>178</v>
      </c>
      <c r="Z22" s="15"/>
      <c r="AA22" s="15"/>
      <c r="AB22" s="15"/>
    </row>
    <row r="23" spans="1:28" s="28" customForma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10"/>
      <c r="L23" s="9"/>
      <c r="M23" s="9"/>
      <c r="N23" s="9"/>
      <c r="O23" s="10"/>
      <c r="P23" s="9"/>
      <c r="Q23" s="10"/>
      <c r="R23" s="11"/>
      <c r="S23" s="9"/>
      <c r="T23" s="11"/>
      <c r="U23" s="20"/>
      <c r="V23" s="20"/>
      <c r="W23" s="20"/>
      <c r="X23" s="20"/>
      <c r="Y23" s="20"/>
      <c r="Z23" s="16"/>
      <c r="AA23" s="16"/>
      <c r="AB23" s="16"/>
    </row>
    <row r="24" spans="1:28" s="32" customFormat="1" x14ac:dyDescent="0.25">
      <c r="A24" s="21" t="s">
        <v>25</v>
      </c>
      <c r="B24" s="21"/>
      <c r="C24" s="21"/>
      <c r="D24" s="21" t="s">
        <v>41</v>
      </c>
      <c r="E24" s="21" t="s">
        <v>47</v>
      </c>
      <c r="F24" s="21" t="s">
        <v>47</v>
      </c>
      <c r="G24" s="21" t="s">
        <v>89</v>
      </c>
      <c r="H24" s="21" t="s">
        <v>48</v>
      </c>
      <c r="I24" s="21"/>
      <c r="J24" s="21" t="s">
        <v>47</v>
      </c>
      <c r="K24" s="22">
        <v>46037</v>
      </c>
      <c r="L24" s="21" t="s">
        <v>67</v>
      </c>
      <c r="M24" s="21" t="s">
        <v>44</v>
      </c>
      <c r="N24" s="21" t="s">
        <v>36</v>
      </c>
      <c r="O24" s="22">
        <v>45642</v>
      </c>
      <c r="P24" s="21">
        <v>25</v>
      </c>
      <c r="Q24" s="22">
        <v>46037</v>
      </c>
      <c r="R24" s="23">
        <f t="shared" si="2"/>
        <v>12.966666666666665</v>
      </c>
      <c r="S24" s="21"/>
      <c r="T24" s="11">
        <f>YEARFRAC(O24,Q24)</f>
        <v>1.0805555555555555</v>
      </c>
      <c r="U24" s="20">
        <v>8</v>
      </c>
      <c r="V24" s="20" t="s">
        <v>176</v>
      </c>
      <c r="W24" s="20" t="s">
        <v>176</v>
      </c>
      <c r="X24" s="20">
        <v>7</v>
      </c>
      <c r="Y24" s="20" t="s">
        <v>187</v>
      </c>
      <c r="Z24" s="25"/>
      <c r="AA24" s="25" t="s">
        <v>90</v>
      </c>
      <c r="AB24" s="25"/>
    </row>
    <row r="25" spans="1:28" s="28" customFormat="1" x14ac:dyDescent="0.25">
      <c r="A25" s="9"/>
      <c r="B25" s="9"/>
      <c r="C25" s="9"/>
      <c r="D25" s="9"/>
      <c r="E25" s="26" t="s">
        <v>91</v>
      </c>
      <c r="F25" s="9"/>
      <c r="G25" s="9"/>
      <c r="H25" s="9"/>
      <c r="I25" s="9"/>
      <c r="J25" s="26" t="s">
        <v>92</v>
      </c>
      <c r="K25" s="27" t="s">
        <v>92</v>
      </c>
      <c r="L25" s="9"/>
      <c r="M25" s="9"/>
      <c r="N25" s="9"/>
      <c r="O25" s="10"/>
      <c r="P25" s="9"/>
      <c r="Q25" s="10"/>
      <c r="R25" s="11"/>
      <c r="S25" s="9"/>
      <c r="T25" s="11"/>
      <c r="U25" s="20"/>
      <c r="V25" s="20"/>
      <c r="W25" s="20"/>
      <c r="X25" s="20"/>
      <c r="Y25" s="20"/>
      <c r="Z25" s="16"/>
      <c r="AA25" s="16"/>
      <c r="AB25" s="16"/>
    </row>
    <row r="26" spans="1:28" s="28" customFormat="1" x14ac:dyDescent="0.25">
      <c r="A26" s="9" t="s">
        <v>25</v>
      </c>
      <c r="B26" s="9"/>
      <c r="C26" s="9"/>
      <c r="D26" s="9" t="s">
        <v>41</v>
      </c>
      <c r="E26" s="9" t="s">
        <v>49</v>
      </c>
      <c r="F26" s="9" t="s">
        <v>49</v>
      </c>
      <c r="G26" s="9" t="s">
        <v>102</v>
      </c>
      <c r="H26" s="9" t="s">
        <v>51</v>
      </c>
      <c r="I26" s="9"/>
      <c r="J26" s="9" t="s">
        <v>49</v>
      </c>
      <c r="K26" s="10">
        <v>46038</v>
      </c>
      <c r="L26" s="9" t="s">
        <v>67</v>
      </c>
      <c r="M26" s="9" t="s">
        <v>44</v>
      </c>
      <c r="N26" s="9" t="s">
        <v>45</v>
      </c>
      <c r="O26" s="10">
        <v>45719</v>
      </c>
      <c r="P26" s="9">
        <v>25</v>
      </c>
      <c r="Q26" s="10">
        <v>46038</v>
      </c>
      <c r="R26" s="11">
        <f t="shared" si="2"/>
        <v>10.433333333333334</v>
      </c>
      <c r="S26" s="9"/>
      <c r="T26" s="11">
        <f>YEARFRAC(O26,Q26)</f>
        <v>0.86944444444444446</v>
      </c>
      <c r="U26" s="20">
        <v>8</v>
      </c>
      <c r="V26" s="20">
        <v>9</v>
      </c>
      <c r="W26" s="20">
        <v>10</v>
      </c>
      <c r="X26" s="20">
        <v>7</v>
      </c>
      <c r="Y26" s="24" t="s">
        <v>178</v>
      </c>
      <c r="Z26" s="16"/>
      <c r="AA26" s="16"/>
      <c r="AB26" s="16"/>
    </row>
    <row r="27" spans="1:28" s="28" customFormat="1" x14ac:dyDescent="0.25">
      <c r="A27" s="9"/>
      <c r="B27" s="9"/>
      <c r="C27" s="9"/>
      <c r="D27" s="9"/>
      <c r="E27" s="9" t="s">
        <v>49</v>
      </c>
      <c r="F27" s="9" t="s">
        <v>49</v>
      </c>
      <c r="G27" s="9" t="s">
        <v>103</v>
      </c>
      <c r="H27" s="9" t="s">
        <v>166</v>
      </c>
      <c r="I27" s="9"/>
      <c r="J27" s="9" t="s">
        <v>49</v>
      </c>
      <c r="K27" s="10">
        <v>46057</v>
      </c>
      <c r="L27" s="9" t="s">
        <v>68</v>
      </c>
      <c r="M27" s="9" t="s">
        <v>44</v>
      </c>
      <c r="N27" s="9" t="s">
        <v>45</v>
      </c>
      <c r="O27" s="10"/>
      <c r="P27" s="9"/>
      <c r="Q27" s="10"/>
      <c r="R27" s="11"/>
      <c r="S27" s="9"/>
      <c r="T27" s="11"/>
      <c r="U27" s="20">
        <v>8</v>
      </c>
      <c r="V27" s="20">
        <v>14</v>
      </c>
      <c r="W27" s="20">
        <v>10</v>
      </c>
      <c r="X27" s="20">
        <v>7</v>
      </c>
      <c r="Y27" s="20" t="s">
        <v>182</v>
      </c>
      <c r="Z27" s="16"/>
      <c r="AA27" s="16" t="s">
        <v>180</v>
      </c>
      <c r="AB27" s="16" t="s">
        <v>181</v>
      </c>
    </row>
    <row r="28" spans="1:28" s="28" customFormat="1" x14ac:dyDescent="0.25">
      <c r="A28" s="9" t="s">
        <v>25</v>
      </c>
      <c r="B28" s="9"/>
      <c r="C28" s="9"/>
      <c r="D28" s="9" t="s">
        <v>41</v>
      </c>
      <c r="E28" s="9" t="s">
        <v>108</v>
      </c>
      <c r="F28" s="9" t="s">
        <v>108</v>
      </c>
      <c r="G28" s="9" t="s">
        <v>109</v>
      </c>
      <c r="H28" s="9" t="s">
        <v>110</v>
      </c>
      <c r="I28" s="9"/>
      <c r="J28" s="9" t="s">
        <v>108</v>
      </c>
      <c r="K28" s="10">
        <v>46042</v>
      </c>
      <c r="L28" s="9" t="s">
        <v>67</v>
      </c>
      <c r="M28" s="9" t="s">
        <v>44</v>
      </c>
      <c r="N28" s="9" t="s">
        <v>36</v>
      </c>
      <c r="O28" s="10">
        <v>45293</v>
      </c>
      <c r="P28" s="9">
        <v>29</v>
      </c>
      <c r="Q28" s="10">
        <v>46042</v>
      </c>
      <c r="R28" s="11">
        <f t="shared" ref="R28" si="4">12*YEARFRAC(O28,Q28)</f>
        <v>24.599999999999998</v>
      </c>
      <c r="S28" s="9"/>
      <c r="T28" s="11">
        <f>YEARFRAC(O28,Q28)</f>
        <v>2.0499999999999998</v>
      </c>
      <c r="U28" s="20">
        <v>8</v>
      </c>
      <c r="V28" s="20">
        <v>17</v>
      </c>
      <c r="W28" s="20" t="s">
        <v>176</v>
      </c>
      <c r="X28" s="20">
        <v>7</v>
      </c>
      <c r="Y28" s="20" t="s">
        <v>187</v>
      </c>
      <c r="Z28" s="16"/>
      <c r="AA28" s="16" t="s">
        <v>190</v>
      </c>
      <c r="AB28" s="16"/>
    </row>
    <row r="29" spans="1:28" s="28" customForma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10"/>
      <c r="L29" s="9"/>
      <c r="M29" s="9"/>
      <c r="N29" s="9"/>
      <c r="O29" s="10"/>
      <c r="P29" s="9"/>
      <c r="Q29" s="10"/>
      <c r="R29" s="11"/>
      <c r="S29" s="9"/>
      <c r="T29" s="11"/>
      <c r="U29" s="20"/>
      <c r="V29" s="20"/>
      <c r="W29" s="20"/>
      <c r="X29" s="20"/>
      <c r="Y29" s="20"/>
      <c r="Z29" s="16"/>
      <c r="AA29" s="16"/>
      <c r="AB29" s="16"/>
    </row>
    <row r="30" spans="1:28" s="28" customFormat="1" x14ac:dyDescent="0.25">
      <c r="A30" s="9" t="s">
        <v>25</v>
      </c>
      <c r="B30" s="9"/>
      <c r="C30" s="9"/>
      <c r="D30" s="9" t="s">
        <v>41</v>
      </c>
      <c r="E30" s="9" t="s">
        <v>104</v>
      </c>
      <c r="F30" s="9" t="s">
        <v>104</v>
      </c>
      <c r="G30" s="9" t="s">
        <v>50</v>
      </c>
      <c r="H30" s="9" t="s">
        <v>105</v>
      </c>
      <c r="I30" s="9"/>
      <c r="J30" s="9" t="s">
        <v>104</v>
      </c>
      <c r="K30" s="10">
        <v>46038</v>
      </c>
      <c r="L30" s="9" t="s">
        <v>67</v>
      </c>
      <c r="M30" s="9" t="s">
        <v>44</v>
      </c>
      <c r="N30" s="9" t="s">
        <v>28</v>
      </c>
      <c r="O30" s="10">
        <v>45719</v>
      </c>
      <c r="P30" s="9">
        <v>25</v>
      </c>
      <c r="Q30" s="10">
        <v>46038</v>
      </c>
      <c r="R30" s="11">
        <f>12*YEARFRAC(O30,Q30)</f>
        <v>10.433333333333334</v>
      </c>
      <c r="S30" s="9"/>
      <c r="T30" s="11">
        <f>YEARFRAC(O30,Q30)</f>
        <v>0.86944444444444446</v>
      </c>
      <c r="U30" s="20">
        <v>8</v>
      </c>
      <c r="V30" s="20">
        <v>9</v>
      </c>
      <c r="W30" s="20">
        <v>10</v>
      </c>
      <c r="X30" s="20">
        <v>7</v>
      </c>
      <c r="Y30" s="20" t="s">
        <v>187</v>
      </c>
      <c r="Z30" s="16" t="s">
        <v>185</v>
      </c>
      <c r="AA30" s="16"/>
      <c r="AB30" s="16"/>
    </row>
    <row r="31" spans="1:28" s="28" customFormat="1" x14ac:dyDescent="0.25">
      <c r="A31" s="9"/>
      <c r="B31" s="9"/>
      <c r="C31" s="9"/>
      <c r="D31" s="9"/>
      <c r="E31" s="9" t="s">
        <v>104</v>
      </c>
      <c r="F31" s="9" t="s">
        <v>104</v>
      </c>
      <c r="G31" s="9" t="s">
        <v>106</v>
      </c>
      <c r="H31" s="9" t="s">
        <v>167</v>
      </c>
      <c r="I31" s="9"/>
      <c r="J31" s="9" t="s">
        <v>104</v>
      </c>
      <c r="K31" s="10">
        <v>46062</v>
      </c>
      <c r="L31" s="9" t="s">
        <v>68</v>
      </c>
      <c r="M31" s="9" t="s">
        <v>44</v>
      </c>
      <c r="N31" s="9" t="s">
        <v>28</v>
      </c>
      <c r="O31" s="10"/>
      <c r="P31" s="9">
        <v>27</v>
      </c>
      <c r="Q31" s="10"/>
      <c r="R31" s="11"/>
      <c r="S31" s="9"/>
      <c r="T31" s="11"/>
      <c r="U31" s="20">
        <v>8</v>
      </c>
      <c r="V31" s="20">
        <v>9</v>
      </c>
      <c r="W31" s="20">
        <v>24</v>
      </c>
      <c r="X31" s="20">
        <v>7</v>
      </c>
      <c r="Y31" s="20" t="s">
        <v>187</v>
      </c>
      <c r="Z31" s="16"/>
      <c r="AA31" s="16" t="s">
        <v>107</v>
      </c>
      <c r="AB31" s="16"/>
    </row>
    <row r="32" spans="1:28" s="28" customFormat="1" x14ac:dyDescent="0.25">
      <c r="A32" s="9" t="s">
        <v>25</v>
      </c>
      <c r="B32" s="9"/>
      <c r="C32" s="9"/>
      <c r="D32" s="9" t="s">
        <v>41</v>
      </c>
      <c r="E32" s="9" t="s">
        <v>111</v>
      </c>
      <c r="F32" s="9" t="s">
        <v>111</v>
      </c>
      <c r="G32" s="9" t="s">
        <v>114</v>
      </c>
      <c r="H32" s="9" t="s">
        <v>112</v>
      </c>
      <c r="I32" s="9"/>
      <c r="J32" s="9" t="s">
        <v>111</v>
      </c>
      <c r="K32" s="10">
        <v>46042</v>
      </c>
      <c r="L32" s="9" t="s">
        <v>67</v>
      </c>
      <c r="M32" s="9" t="s">
        <v>44</v>
      </c>
      <c r="N32" s="9" t="s">
        <v>36</v>
      </c>
      <c r="O32" s="10">
        <v>45748</v>
      </c>
      <c r="P32" s="9">
        <v>27</v>
      </c>
      <c r="Q32" s="10">
        <v>46042</v>
      </c>
      <c r="R32" s="11">
        <f t="shared" ref="R32:R36" si="5">12*YEARFRAC(O32,Q32)</f>
        <v>9.6333333333333329</v>
      </c>
      <c r="S32" s="9"/>
      <c r="T32" s="11">
        <f>YEARFRAC(O32,Q32)</f>
        <v>0.80277777777777781</v>
      </c>
      <c r="U32" s="20">
        <v>8</v>
      </c>
      <c r="V32" s="20">
        <v>9</v>
      </c>
      <c r="W32" s="20">
        <v>10</v>
      </c>
      <c r="X32" s="20">
        <v>7</v>
      </c>
      <c r="Y32" s="24" t="s">
        <v>178</v>
      </c>
      <c r="Z32" s="16"/>
      <c r="AA32" s="16" t="s">
        <v>113</v>
      </c>
      <c r="AB32" s="16"/>
    </row>
    <row r="33" spans="1:28" s="28" customFormat="1" x14ac:dyDescent="0.25">
      <c r="A33" s="9"/>
      <c r="B33" s="9"/>
      <c r="C33" s="9"/>
      <c r="D33" s="9"/>
      <c r="E33" s="9" t="s">
        <v>111</v>
      </c>
      <c r="F33" s="9" t="s">
        <v>111</v>
      </c>
      <c r="G33" s="9" t="s">
        <v>124</v>
      </c>
      <c r="H33" s="9" t="s">
        <v>168</v>
      </c>
      <c r="I33" s="9"/>
      <c r="J33" s="9" t="s">
        <v>111</v>
      </c>
      <c r="K33" s="10">
        <v>46063</v>
      </c>
      <c r="L33" s="9" t="s">
        <v>68</v>
      </c>
      <c r="M33" s="9" t="s">
        <v>44</v>
      </c>
      <c r="N33" s="9" t="s">
        <v>36</v>
      </c>
      <c r="O33" s="10"/>
      <c r="P33" s="9">
        <v>28</v>
      </c>
      <c r="Q33" s="10"/>
      <c r="R33" s="11"/>
      <c r="S33" s="9"/>
      <c r="T33" s="11"/>
      <c r="U33" s="20">
        <v>8</v>
      </c>
      <c r="V33" s="20">
        <v>9</v>
      </c>
      <c r="W33" s="20">
        <v>10</v>
      </c>
      <c r="X33" s="20">
        <v>7</v>
      </c>
      <c r="Y33" s="20" t="s">
        <v>189</v>
      </c>
      <c r="Z33" s="16" t="s">
        <v>188</v>
      </c>
      <c r="AA33" s="35" t="s">
        <v>125</v>
      </c>
      <c r="AB33" s="16"/>
    </row>
    <row r="34" spans="1:28" s="28" customFormat="1" x14ac:dyDescent="0.25">
      <c r="A34" s="9" t="s">
        <v>25</v>
      </c>
      <c r="B34" s="9"/>
      <c r="C34" s="9"/>
      <c r="D34" s="9" t="s">
        <v>41</v>
      </c>
      <c r="E34" s="9" t="s">
        <v>116</v>
      </c>
      <c r="F34" s="9" t="s">
        <v>116</v>
      </c>
      <c r="G34" s="9" t="s">
        <v>117</v>
      </c>
      <c r="H34" s="9" t="s">
        <v>118</v>
      </c>
      <c r="I34" s="9"/>
      <c r="J34" s="9" t="s">
        <v>116</v>
      </c>
      <c r="K34" s="10">
        <v>46042</v>
      </c>
      <c r="L34" s="9" t="s">
        <v>67</v>
      </c>
      <c r="M34" s="9" t="s">
        <v>44</v>
      </c>
      <c r="N34" s="9" t="s">
        <v>36</v>
      </c>
      <c r="O34" s="10">
        <v>45748</v>
      </c>
      <c r="P34" s="9">
        <v>29</v>
      </c>
      <c r="Q34" s="10">
        <v>46042</v>
      </c>
      <c r="R34" s="11">
        <f t="shared" si="5"/>
        <v>9.6333333333333329</v>
      </c>
      <c r="S34" s="9"/>
      <c r="T34" s="11">
        <f>YEARFRAC(O34,Q34)</f>
        <v>0.80277777777777781</v>
      </c>
      <c r="U34" s="20">
        <v>8</v>
      </c>
      <c r="V34" s="20">
        <v>9</v>
      </c>
      <c r="W34" s="20">
        <v>10</v>
      </c>
      <c r="X34" s="20">
        <v>7</v>
      </c>
      <c r="Y34" s="24" t="s">
        <v>178</v>
      </c>
      <c r="Z34" s="16"/>
      <c r="AA34" s="16"/>
      <c r="AB34" s="16"/>
    </row>
    <row r="35" spans="1:28" s="28" customFormat="1" x14ac:dyDescent="0.25">
      <c r="A35" s="9"/>
      <c r="B35" s="9"/>
      <c r="C35" s="9"/>
      <c r="D35" s="9" t="s">
        <v>115</v>
      </c>
      <c r="E35" s="9" t="s">
        <v>116</v>
      </c>
      <c r="F35" s="9" t="s">
        <v>116</v>
      </c>
      <c r="G35" s="9" t="s">
        <v>119</v>
      </c>
      <c r="H35" s="9" t="s">
        <v>169</v>
      </c>
      <c r="I35" s="9"/>
      <c r="J35" s="9" t="s">
        <v>116</v>
      </c>
      <c r="K35" s="10">
        <v>46062</v>
      </c>
      <c r="L35" s="9" t="s">
        <v>68</v>
      </c>
      <c r="M35" s="9" t="s">
        <v>44</v>
      </c>
      <c r="N35" s="9" t="s">
        <v>36</v>
      </c>
      <c r="O35" s="10"/>
      <c r="P35" s="9"/>
      <c r="Q35" s="10"/>
      <c r="R35" s="11"/>
      <c r="S35" s="9"/>
      <c r="T35" s="11"/>
      <c r="U35" s="20">
        <v>8</v>
      </c>
      <c r="V35" s="20">
        <v>14</v>
      </c>
      <c r="W35" s="20">
        <v>15</v>
      </c>
      <c r="X35" s="20">
        <v>7</v>
      </c>
      <c r="Y35" s="24" t="s">
        <v>178</v>
      </c>
      <c r="Z35" s="16"/>
      <c r="AA35" s="16"/>
      <c r="AB35" s="16"/>
    </row>
    <row r="36" spans="1:28" s="28" customFormat="1" x14ac:dyDescent="0.25">
      <c r="A36" s="9" t="s">
        <v>25</v>
      </c>
      <c r="B36" s="9"/>
      <c r="C36" s="9"/>
      <c r="D36" s="9" t="s">
        <v>41</v>
      </c>
      <c r="E36" s="9" t="s">
        <v>120</v>
      </c>
      <c r="F36" s="9" t="s">
        <v>120</v>
      </c>
      <c r="G36" s="9" t="s">
        <v>121</v>
      </c>
      <c r="H36" s="9" t="s">
        <v>122</v>
      </c>
      <c r="I36" s="9"/>
      <c r="J36" s="9" t="s">
        <v>120</v>
      </c>
      <c r="K36" s="10">
        <v>46043</v>
      </c>
      <c r="L36" s="9" t="s">
        <v>67</v>
      </c>
      <c r="M36" s="9" t="s">
        <v>44</v>
      </c>
      <c r="N36" s="9" t="s">
        <v>36</v>
      </c>
      <c r="O36" s="10">
        <v>45778</v>
      </c>
      <c r="P36" s="9">
        <v>30</v>
      </c>
      <c r="Q36" s="10">
        <v>46043</v>
      </c>
      <c r="R36" s="11">
        <f t="shared" si="5"/>
        <v>8.6666666666666661</v>
      </c>
      <c r="S36" s="9"/>
      <c r="T36" s="11">
        <f>YEARFRAC(O36,Q36)</f>
        <v>0.72222222222222221</v>
      </c>
      <c r="U36" s="20">
        <v>8</v>
      </c>
      <c r="V36" s="20">
        <v>9</v>
      </c>
      <c r="W36" s="20">
        <v>10</v>
      </c>
      <c r="X36" s="20">
        <v>7</v>
      </c>
      <c r="Y36" s="24" t="s">
        <v>178</v>
      </c>
      <c r="Z36" s="16" t="s">
        <v>198</v>
      </c>
      <c r="AA36" s="16"/>
      <c r="AB36" s="16"/>
    </row>
    <row r="37" spans="1:28" s="28" customFormat="1" x14ac:dyDescent="0.25">
      <c r="A37" s="9"/>
      <c r="B37" s="9"/>
      <c r="C37" s="9"/>
      <c r="D37" s="9"/>
      <c r="E37" s="9" t="s">
        <v>120</v>
      </c>
      <c r="F37" s="9" t="s">
        <v>120</v>
      </c>
      <c r="G37" s="28" t="s">
        <v>123</v>
      </c>
      <c r="H37" s="9" t="s">
        <v>170</v>
      </c>
      <c r="I37" s="9"/>
      <c r="J37" s="9" t="s">
        <v>120</v>
      </c>
      <c r="K37" s="10">
        <v>46057</v>
      </c>
      <c r="L37" s="9" t="s">
        <v>68</v>
      </c>
      <c r="M37" s="9" t="s">
        <v>44</v>
      </c>
      <c r="N37" s="9" t="s">
        <v>36</v>
      </c>
      <c r="O37" s="10"/>
      <c r="P37" s="9"/>
      <c r="Q37" s="10"/>
      <c r="R37" s="11"/>
      <c r="S37" s="9"/>
      <c r="T37" s="11"/>
      <c r="U37" s="20">
        <v>8</v>
      </c>
      <c r="V37" s="20">
        <v>9</v>
      </c>
      <c r="W37" s="20">
        <v>10</v>
      </c>
      <c r="X37" s="20">
        <v>7</v>
      </c>
      <c r="Y37" s="24" t="s">
        <v>178</v>
      </c>
      <c r="Z37" s="16"/>
      <c r="AA37" s="16"/>
      <c r="AB37" s="16"/>
    </row>
    <row r="38" spans="1:28" s="28" customFormat="1" x14ac:dyDescent="0.25">
      <c r="E38" s="28" t="s">
        <v>126</v>
      </c>
      <c r="F38" s="28" t="s">
        <v>126</v>
      </c>
      <c r="G38" s="28" t="s">
        <v>129</v>
      </c>
      <c r="H38" s="28" t="s">
        <v>171</v>
      </c>
      <c r="J38" s="28" t="s">
        <v>126</v>
      </c>
      <c r="K38" s="29">
        <v>46063</v>
      </c>
      <c r="L38" s="28" t="s">
        <v>68</v>
      </c>
      <c r="M38" s="28" t="s">
        <v>44</v>
      </c>
      <c r="N38" s="28" t="s">
        <v>36</v>
      </c>
      <c r="O38" s="29">
        <v>45748</v>
      </c>
      <c r="P38" s="28">
        <v>31</v>
      </c>
      <c r="Q38" s="29"/>
      <c r="R38" s="16"/>
      <c r="T38" s="16"/>
      <c r="U38" s="20">
        <v>8</v>
      </c>
      <c r="V38" s="20">
        <v>9</v>
      </c>
      <c r="W38" s="20">
        <v>10</v>
      </c>
      <c r="X38" s="20">
        <v>7</v>
      </c>
      <c r="Y38" s="24" t="s">
        <v>178</v>
      </c>
      <c r="Z38" s="16" t="s">
        <v>192</v>
      </c>
      <c r="AA38" s="16" t="s">
        <v>127</v>
      </c>
      <c r="AB38" s="16"/>
    </row>
    <row r="39" spans="1:28" s="28" customFormat="1" x14ac:dyDescent="0.25">
      <c r="E39" s="28" t="s">
        <v>128</v>
      </c>
      <c r="F39" s="28" t="s">
        <v>128</v>
      </c>
      <c r="G39" s="28" t="s">
        <v>124</v>
      </c>
      <c r="H39" s="28" t="s">
        <v>172</v>
      </c>
      <c r="J39" s="28" t="s">
        <v>128</v>
      </c>
      <c r="K39" s="29">
        <v>46063</v>
      </c>
      <c r="L39" s="28" t="s">
        <v>68</v>
      </c>
      <c r="M39" s="28" t="s">
        <v>44</v>
      </c>
      <c r="N39" s="28" t="s">
        <v>28</v>
      </c>
      <c r="O39" s="29">
        <v>45805</v>
      </c>
      <c r="P39" s="28">
        <v>26</v>
      </c>
      <c r="Q39" s="29"/>
      <c r="R39" s="16"/>
      <c r="T39" s="16"/>
      <c r="U39" s="20">
        <v>8</v>
      </c>
      <c r="V39" s="20">
        <v>9</v>
      </c>
      <c r="W39" s="20">
        <v>10</v>
      </c>
      <c r="X39" s="20">
        <v>7</v>
      </c>
      <c r="Y39" s="20" t="s">
        <v>200</v>
      </c>
      <c r="Z39" s="16" t="s">
        <v>201</v>
      </c>
      <c r="AA39" s="16" t="s">
        <v>138</v>
      </c>
      <c r="AB39" s="16"/>
    </row>
    <row r="40" spans="1:28" s="28" customFormat="1" x14ac:dyDescent="0.25">
      <c r="K40" s="29"/>
      <c r="O40" s="29"/>
      <c r="Q40" s="29"/>
      <c r="R40" s="16"/>
      <c r="T40" s="16"/>
      <c r="U40" s="20"/>
      <c r="V40" s="20"/>
      <c r="W40" s="20"/>
      <c r="X40" s="20"/>
      <c r="Y40" s="20"/>
      <c r="Z40" s="16"/>
      <c r="AA40" s="16"/>
      <c r="AB40" s="16"/>
    </row>
    <row r="41" spans="1:28" s="28" customFormat="1" x14ac:dyDescent="0.25">
      <c r="K41" s="29"/>
      <c r="O41" s="29"/>
      <c r="Q41" s="29"/>
      <c r="R41" s="16"/>
      <c r="T41" s="16"/>
      <c r="U41" s="20"/>
      <c r="V41" s="20"/>
      <c r="W41" s="20"/>
      <c r="X41" s="20"/>
      <c r="Y41" s="20"/>
      <c r="Z41" s="16"/>
      <c r="AA41" s="16"/>
      <c r="AB41" s="16"/>
    </row>
    <row r="42" spans="1:28" x14ac:dyDescent="0.25">
      <c r="E42" s="13" t="s">
        <v>222</v>
      </c>
      <c r="F42" s="13" t="s">
        <v>222</v>
      </c>
      <c r="G42" s="13" t="s">
        <v>222</v>
      </c>
      <c r="H42" s="13" t="s">
        <v>230</v>
      </c>
      <c r="I42" s="13" t="s">
        <v>217</v>
      </c>
      <c r="J42" s="13" t="s">
        <v>222</v>
      </c>
      <c r="K42" s="33">
        <v>46120</v>
      </c>
      <c r="L42" s="13" t="s">
        <v>67</v>
      </c>
      <c r="M42" s="13" t="s">
        <v>44</v>
      </c>
      <c r="N42" s="13" t="s">
        <v>28</v>
      </c>
      <c r="O42" s="33">
        <v>45719</v>
      </c>
      <c r="P42" s="13">
        <v>26</v>
      </c>
      <c r="U42" s="13">
        <v>45</v>
      </c>
      <c r="V42" s="13">
        <v>46</v>
      </c>
      <c r="X42" s="13">
        <v>44</v>
      </c>
      <c r="AA42" s="13" t="s">
        <v>228</v>
      </c>
    </row>
    <row r="43" spans="1:28" x14ac:dyDescent="0.25">
      <c r="E43" s="13" t="s">
        <v>226</v>
      </c>
      <c r="F43" s="13" t="s">
        <v>226</v>
      </c>
      <c r="G43" s="13" t="s">
        <v>203</v>
      </c>
      <c r="H43" s="13" t="s">
        <v>231</v>
      </c>
      <c r="I43" s="13" t="s">
        <v>218</v>
      </c>
      <c r="J43" s="13" t="s">
        <v>226</v>
      </c>
      <c r="K43" s="33">
        <v>46120</v>
      </c>
      <c r="L43" s="13" t="s">
        <v>67</v>
      </c>
      <c r="M43" s="13" t="s">
        <v>44</v>
      </c>
      <c r="N43" s="13" t="s">
        <v>28</v>
      </c>
      <c r="O43" s="33">
        <v>45719</v>
      </c>
      <c r="P43" s="13">
        <v>26</v>
      </c>
      <c r="U43" s="13">
        <v>8</v>
      </c>
      <c r="V43" s="13">
        <v>9</v>
      </c>
      <c r="W43" s="13">
        <v>10</v>
      </c>
      <c r="X43" s="13">
        <v>7</v>
      </c>
      <c r="AA43" s="13" t="s">
        <v>227</v>
      </c>
    </row>
    <row r="44" spans="1:28" ht="20" customHeight="1" x14ac:dyDescent="0.25">
      <c r="E44" s="13" t="s">
        <v>223</v>
      </c>
      <c r="F44" s="13" t="s">
        <v>223</v>
      </c>
      <c r="G44" s="13" t="s">
        <v>204</v>
      </c>
      <c r="H44" s="13" t="s">
        <v>224</v>
      </c>
      <c r="I44" s="13" t="s">
        <v>219</v>
      </c>
      <c r="J44" s="13" t="s">
        <v>223</v>
      </c>
      <c r="K44" s="33">
        <v>46121</v>
      </c>
      <c r="L44" s="13" t="s">
        <v>67</v>
      </c>
      <c r="M44" s="13" t="s">
        <v>44</v>
      </c>
      <c r="N44" s="13" t="s">
        <v>28</v>
      </c>
      <c r="O44" s="33">
        <v>45805</v>
      </c>
      <c r="P44" s="13">
        <v>29</v>
      </c>
      <c r="Q44" s="33">
        <v>46121</v>
      </c>
      <c r="U44" s="13">
        <v>30</v>
      </c>
      <c r="V44" s="13">
        <v>29</v>
      </c>
      <c r="W44" s="13">
        <v>28</v>
      </c>
      <c r="X44" s="13">
        <v>11</v>
      </c>
    </row>
    <row r="45" spans="1:28" ht="20" customHeight="1" x14ac:dyDescent="0.25">
      <c r="E45" s="13" t="s">
        <v>229</v>
      </c>
      <c r="F45" s="13" t="s">
        <v>229</v>
      </c>
      <c r="G45" s="13" t="s">
        <v>205</v>
      </c>
      <c r="H45" s="13" t="s">
        <v>232</v>
      </c>
      <c r="I45" s="13" t="s">
        <v>220</v>
      </c>
      <c r="J45" s="13" t="s">
        <v>229</v>
      </c>
      <c r="K45" s="33">
        <v>46121</v>
      </c>
      <c r="L45" s="13" t="s">
        <v>67</v>
      </c>
      <c r="M45" s="13" t="s">
        <v>44</v>
      </c>
      <c r="N45" s="13" t="s">
        <v>36</v>
      </c>
      <c r="O45" s="33">
        <v>45748</v>
      </c>
      <c r="P45" s="13">
        <v>29</v>
      </c>
      <c r="U45" s="13">
        <v>10</v>
      </c>
      <c r="V45" s="13">
        <v>11</v>
      </c>
      <c r="W45" s="13">
        <v>12</v>
      </c>
      <c r="X45" s="13">
        <v>5</v>
      </c>
      <c r="AA45" s="13" t="s">
        <v>233</v>
      </c>
    </row>
    <row r="46" spans="1:28" ht="20" customHeight="1" x14ac:dyDescent="0.25">
      <c r="E46" s="13" t="s">
        <v>223</v>
      </c>
      <c r="F46" s="13" t="s">
        <v>223</v>
      </c>
      <c r="G46" s="13" t="s">
        <v>204</v>
      </c>
      <c r="H46" s="13" t="s">
        <v>225</v>
      </c>
      <c r="I46" s="13" t="s">
        <v>219</v>
      </c>
      <c r="J46" s="13" t="s">
        <v>223</v>
      </c>
      <c r="K46" s="33">
        <v>46126</v>
      </c>
      <c r="L46" s="13" t="s">
        <v>68</v>
      </c>
      <c r="M46" s="13" t="s">
        <v>44</v>
      </c>
      <c r="N46" s="13" t="s">
        <v>28</v>
      </c>
      <c r="O46" s="33">
        <v>45805</v>
      </c>
      <c r="P46" s="13">
        <v>29</v>
      </c>
      <c r="U46" s="13">
        <v>10</v>
      </c>
      <c r="V46" s="13">
        <v>11</v>
      </c>
      <c r="W46" s="13">
        <v>12</v>
      </c>
      <c r="X46" s="13">
        <v>5</v>
      </c>
    </row>
    <row r="47" spans="1:28" ht="20" customHeight="1" x14ac:dyDescent="0.25">
      <c r="E47" s="13" t="s">
        <v>234</v>
      </c>
      <c r="F47" s="13" t="s">
        <v>234</v>
      </c>
      <c r="G47" s="13" t="s">
        <v>206</v>
      </c>
      <c r="H47" s="13" t="s">
        <v>235</v>
      </c>
      <c r="I47" s="13" t="s">
        <v>219</v>
      </c>
      <c r="J47" s="13" t="s">
        <v>234</v>
      </c>
      <c r="K47" s="33">
        <v>46126</v>
      </c>
      <c r="L47" s="13" t="s">
        <v>67</v>
      </c>
      <c r="M47" s="13" t="s">
        <v>44</v>
      </c>
      <c r="N47" s="13" t="s">
        <v>28</v>
      </c>
      <c r="O47" s="33">
        <v>45835</v>
      </c>
      <c r="P47" s="13">
        <v>28</v>
      </c>
      <c r="U47" s="13">
        <v>10</v>
      </c>
      <c r="V47" s="13">
        <v>18</v>
      </c>
      <c r="W47" s="13">
        <v>12</v>
      </c>
      <c r="X47" s="13">
        <v>5</v>
      </c>
    </row>
    <row r="48" spans="1:28" ht="20" customHeight="1" x14ac:dyDescent="0.25">
      <c r="E48" s="36" t="s">
        <v>237</v>
      </c>
      <c r="F48" s="36" t="s">
        <v>237</v>
      </c>
      <c r="G48" s="13" t="s">
        <v>207</v>
      </c>
      <c r="H48" s="13" t="s">
        <v>236</v>
      </c>
      <c r="I48" s="13" t="s">
        <v>219</v>
      </c>
      <c r="J48" s="36" t="s">
        <v>237</v>
      </c>
      <c r="K48" s="33">
        <v>46128</v>
      </c>
      <c r="L48" s="13" t="s">
        <v>67</v>
      </c>
      <c r="M48" s="13" t="s">
        <v>44</v>
      </c>
      <c r="N48" s="13" t="s">
        <v>36</v>
      </c>
      <c r="O48" s="33">
        <v>45719</v>
      </c>
      <c r="P48" s="13">
        <v>31</v>
      </c>
      <c r="U48" s="13">
        <v>10</v>
      </c>
      <c r="V48" s="13">
        <v>11</v>
      </c>
      <c r="W48" s="13">
        <v>12</v>
      </c>
      <c r="X48" s="13">
        <v>5</v>
      </c>
    </row>
    <row r="49" spans="1:27" ht="20" customHeight="1" x14ac:dyDescent="0.25">
      <c r="E49" s="13" t="s">
        <v>238</v>
      </c>
      <c r="F49" s="13" t="s">
        <v>238</v>
      </c>
      <c r="G49" s="13" t="s">
        <v>208</v>
      </c>
      <c r="H49" s="36" t="s">
        <v>239</v>
      </c>
      <c r="I49" s="13" t="s">
        <v>217</v>
      </c>
      <c r="J49" s="13" t="s">
        <v>238</v>
      </c>
      <c r="K49" s="33">
        <v>46128</v>
      </c>
      <c r="L49" s="13" t="s">
        <v>67</v>
      </c>
      <c r="M49" s="13" t="s">
        <v>44</v>
      </c>
      <c r="N49" s="13" t="s">
        <v>28</v>
      </c>
      <c r="U49" s="13">
        <v>10</v>
      </c>
      <c r="V49" s="13">
        <v>19</v>
      </c>
      <c r="X49" s="13">
        <v>5</v>
      </c>
      <c r="AA49" s="13" t="s">
        <v>240</v>
      </c>
    </row>
    <row r="50" spans="1:27" ht="20" customHeight="1" x14ac:dyDescent="0.25">
      <c r="E50" s="13" t="s">
        <v>241</v>
      </c>
      <c r="F50" s="13" t="s">
        <v>241</v>
      </c>
      <c r="G50" s="13" t="s">
        <v>209</v>
      </c>
      <c r="H50" s="13" t="s">
        <v>242</v>
      </c>
      <c r="I50" s="13" t="s">
        <v>219</v>
      </c>
      <c r="J50" s="13" t="s">
        <v>241</v>
      </c>
      <c r="K50" s="33">
        <v>46134</v>
      </c>
      <c r="L50" s="13" t="s">
        <v>67</v>
      </c>
      <c r="M50" s="13" t="s">
        <v>27</v>
      </c>
      <c r="N50" s="13" t="s">
        <v>28</v>
      </c>
      <c r="P50" s="13">
        <v>26</v>
      </c>
      <c r="U50" s="13">
        <v>10</v>
      </c>
      <c r="V50" s="13">
        <v>11</v>
      </c>
      <c r="W50" s="13">
        <v>12</v>
      </c>
      <c r="X50" s="13">
        <v>5</v>
      </c>
    </row>
    <row r="51" spans="1:27" ht="20" customHeight="1" x14ac:dyDescent="0.25">
      <c r="E51" s="13" t="s">
        <v>243</v>
      </c>
      <c r="F51" s="13" t="s">
        <v>243</v>
      </c>
      <c r="G51" s="13" t="s">
        <v>210</v>
      </c>
      <c r="H51" s="13" t="s">
        <v>244</v>
      </c>
      <c r="I51" s="13" t="s">
        <v>219</v>
      </c>
      <c r="J51" s="13" t="s">
        <v>243</v>
      </c>
      <c r="K51" s="33">
        <v>46134</v>
      </c>
      <c r="L51" s="13" t="s">
        <v>67</v>
      </c>
      <c r="M51" s="13" t="s">
        <v>27</v>
      </c>
      <c r="N51" s="13" t="s">
        <v>28</v>
      </c>
      <c r="P51" s="13">
        <v>20</v>
      </c>
      <c r="U51" s="13">
        <v>10</v>
      </c>
      <c r="V51" s="13">
        <v>19</v>
      </c>
      <c r="W51" s="13">
        <v>12</v>
      </c>
      <c r="X51" s="13">
        <v>5</v>
      </c>
    </row>
    <row r="52" spans="1:27" ht="20" customHeight="1" x14ac:dyDescent="0.25">
      <c r="E52" s="13" t="s">
        <v>248</v>
      </c>
      <c r="F52" s="13" t="s">
        <v>248</v>
      </c>
      <c r="G52" s="13" t="s">
        <v>211</v>
      </c>
      <c r="H52" s="13" t="s">
        <v>249</v>
      </c>
      <c r="I52" s="13" t="s">
        <v>219</v>
      </c>
      <c r="J52" s="13" t="s">
        <v>248</v>
      </c>
      <c r="K52" s="33">
        <v>46135</v>
      </c>
      <c r="L52" s="13" t="s">
        <v>67</v>
      </c>
      <c r="M52" s="13" t="s">
        <v>27</v>
      </c>
      <c r="N52" s="13" t="s">
        <v>36</v>
      </c>
      <c r="P52" s="13">
        <v>31</v>
      </c>
      <c r="U52" s="13">
        <v>10</v>
      </c>
      <c r="V52" s="13">
        <v>11</v>
      </c>
      <c r="W52" s="13">
        <v>12</v>
      </c>
      <c r="X52" s="13">
        <v>15</v>
      </c>
    </row>
    <row r="53" spans="1:27" x14ac:dyDescent="0.25">
      <c r="E53" s="13" t="s">
        <v>251</v>
      </c>
      <c r="F53" s="13" t="s">
        <v>251</v>
      </c>
      <c r="G53" s="13" t="s">
        <v>212</v>
      </c>
      <c r="H53" s="13" t="s">
        <v>252</v>
      </c>
      <c r="I53" s="13" t="s">
        <v>219</v>
      </c>
      <c r="J53" s="13" t="s">
        <v>251</v>
      </c>
      <c r="K53" s="33">
        <v>46135</v>
      </c>
      <c r="L53" s="13" t="s">
        <v>67</v>
      </c>
      <c r="M53" s="13" t="s">
        <v>27</v>
      </c>
      <c r="N53" s="13" t="s">
        <v>36</v>
      </c>
      <c r="P53" s="13">
        <v>34</v>
      </c>
      <c r="U53" s="13">
        <v>10</v>
      </c>
      <c r="V53" s="13">
        <v>11</v>
      </c>
      <c r="W53" s="13">
        <v>12</v>
      </c>
      <c r="X53" s="13">
        <v>5</v>
      </c>
    </row>
    <row r="54" spans="1:27" x14ac:dyDescent="0.25">
      <c r="E54" s="13" t="s">
        <v>241</v>
      </c>
      <c r="F54" s="13" t="s">
        <v>241</v>
      </c>
      <c r="G54" s="13" t="s">
        <v>213</v>
      </c>
      <c r="H54" s="13" t="s">
        <v>245</v>
      </c>
      <c r="I54" s="13" t="s">
        <v>221</v>
      </c>
      <c r="J54" s="13" t="s">
        <v>241</v>
      </c>
      <c r="K54" s="33">
        <v>46141</v>
      </c>
      <c r="L54" s="13" t="s">
        <v>68</v>
      </c>
      <c r="M54" s="13" t="s">
        <v>27</v>
      </c>
      <c r="N54" s="13" t="s">
        <v>28</v>
      </c>
      <c r="P54" s="13">
        <v>26</v>
      </c>
      <c r="U54" s="13">
        <v>10</v>
      </c>
      <c r="V54" s="13">
        <v>11</v>
      </c>
      <c r="X54" s="13">
        <v>5</v>
      </c>
      <c r="AA54" s="13" t="s">
        <v>246</v>
      </c>
    </row>
    <row r="55" spans="1:27" x14ac:dyDescent="0.25">
      <c r="E55" s="13" t="s">
        <v>243</v>
      </c>
      <c r="F55" s="13" t="s">
        <v>243</v>
      </c>
      <c r="G55" s="13" t="s">
        <v>214</v>
      </c>
      <c r="H55" s="13" t="s">
        <v>247</v>
      </c>
      <c r="I55" s="13" t="s">
        <v>219</v>
      </c>
      <c r="J55" s="13" t="s">
        <v>243</v>
      </c>
      <c r="K55" s="33">
        <v>46141</v>
      </c>
      <c r="L55" s="13" t="s">
        <v>68</v>
      </c>
      <c r="M55" s="13" t="s">
        <v>27</v>
      </c>
      <c r="N55" s="13" t="s">
        <v>28</v>
      </c>
      <c r="P55" s="13">
        <v>20</v>
      </c>
      <c r="U55" s="13">
        <v>10</v>
      </c>
      <c r="V55" s="13">
        <v>11</v>
      </c>
      <c r="W55" s="13">
        <v>12</v>
      </c>
      <c r="X55" s="13">
        <v>5</v>
      </c>
    </row>
    <row r="56" spans="1:27" x14ac:dyDescent="0.25">
      <c r="E56" s="13" t="s">
        <v>248</v>
      </c>
      <c r="F56" s="13" t="s">
        <v>248</v>
      </c>
      <c r="G56" s="13" t="s">
        <v>215</v>
      </c>
      <c r="H56" s="13" t="s">
        <v>250</v>
      </c>
      <c r="I56" s="13" t="s">
        <v>219</v>
      </c>
      <c r="J56" s="13" t="s">
        <v>248</v>
      </c>
      <c r="K56" s="33">
        <v>46142</v>
      </c>
      <c r="L56" s="13" t="s">
        <v>68</v>
      </c>
      <c r="M56" s="13" t="s">
        <v>27</v>
      </c>
      <c r="N56" s="13" t="s">
        <v>36</v>
      </c>
      <c r="P56" s="13">
        <v>31</v>
      </c>
      <c r="U56" s="13">
        <v>10</v>
      </c>
      <c r="V56" s="13">
        <v>11</v>
      </c>
      <c r="W56" s="13">
        <v>12</v>
      </c>
      <c r="X56" s="13">
        <v>5</v>
      </c>
    </row>
    <row r="57" spans="1:27" x14ac:dyDescent="0.25">
      <c r="E57" s="13" t="s">
        <v>251</v>
      </c>
      <c r="F57" s="13" t="s">
        <v>251</v>
      </c>
      <c r="G57" s="13" t="s">
        <v>216</v>
      </c>
      <c r="H57" s="13" t="s">
        <v>253</v>
      </c>
      <c r="I57" s="13" t="s">
        <v>219</v>
      </c>
      <c r="J57" s="13" t="s">
        <v>251</v>
      </c>
      <c r="K57" s="33">
        <v>46142</v>
      </c>
      <c r="L57" s="13" t="s">
        <v>68</v>
      </c>
      <c r="M57" s="13" t="s">
        <v>27</v>
      </c>
      <c r="N57" s="13" t="s">
        <v>36</v>
      </c>
      <c r="P57" s="13">
        <v>34</v>
      </c>
      <c r="U57" s="13">
        <v>10</v>
      </c>
      <c r="V57" s="13">
        <v>11</v>
      </c>
      <c r="W57" s="13">
        <v>12</v>
      </c>
      <c r="X57" s="13">
        <v>16</v>
      </c>
    </row>
    <row r="59" spans="1:27" x14ac:dyDescent="0.25">
      <c r="A59" s="2" t="s">
        <v>25</v>
      </c>
      <c r="B59" s="2"/>
      <c r="C59" s="2"/>
      <c r="D59" s="2" t="s">
        <v>41</v>
      </c>
      <c r="E59" s="13" t="s">
        <v>137</v>
      </c>
      <c r="F59" s="13" t="s">
        <v>137</v>
      </c>
      <c r="G59" s="13" t="s">
        <v>135</v>
      </c>
      <c r="J59" s="13" t="s">
        <v>143</v>
      </c>
      <c r="K59" s="33">
        <v>45939</v>
      </c>
      <c r="L59" s="13" t="s">
        <v>136</v>
      </c>
      <c r="AA59" s="13" t="s">
        <v>139</v>
      </c>
    </row>
    <row r="60" spans="1:27" x14ac:dyDescent="0.25">
      <c r="A60" s="2" t="s">
        <v>25</v>
      </c>
      <c r="B60" s="2"/>
      <c r="C60" s="2"/>
      <c r="D60" s="2" t="s">
        <v>41</v>
      </c>
      <c r="E60" s="13" t="s">
        <v>141</v>
      </c>
      <c r="F60" s="13" t="s">
        <v>141</v>
      </c>
      <c r="G60" s="13" t="s">
        <v>140</v>
      </c>
      <c r="J60" s="13" t="s">
        <v>141</v>
      </c>
      <c r="K60" s="33">
        <v>45946</v>
      </c>
      <c r="L60" s="13" t="s">
        <v>136</v>
      </c>
      <c r="AA60" s="13" t="s">
        <v>142</v>
      </c>
    </row>
    <row r="61" spans="1:27" x14ac:dyDescent="0.25">
      <c r="A61" s="2" t="s">
        <v>25</v>
      </c>
      <c r="B61" s="2"/>
      <c r="C61" s="2"/>
      <c r="D61" s="2" t="s">
        <v>41</v>
      </c>
      <c r="E61" s="13" t="s">
        <v>145</v>
      </c>
      <c r="F61" s="13" t="s">
        <v>145</v>
      </c>
      <c r="G61" s="13" t="s">
        <v>144</v>
      </c>
      <c r="J61" s="13" t="s">
        <v>145</v>
      </c>
      <c r="K61" s="33">
        <v>45960</v>
      </c>
      <c r="L61" s="13" t="s">
        <v>136</v>
      </c>
      <c r="AA61" s="13" t="s">
        <v>142</v>
      </c>
    </row>
    <row r="62" spans="1:27" x14ac:dyDescent="0.25">
      <c r="A62" s="2" t="s">
        <v>25</v>
      </c>
      <c r="B62" s="2"/>
      <c r="C62" s="2"/>
      <c r="D62" s="2" t="s">
        <v>41</v>
      </c>
      <c r="E62" s="13" t="s">
        <v>146</v>
      </c>
      <c r="F62" s="13" t="s">
        <v>146</v>
      </c>
      <c r="G62" s="13" t="s">
        <v>147</v>
      </c>
      <c r="H62" s="31" t="s">
        <v>154</v>
      </c>
      <c r="J62" s="13" t="s">
        <v>146</v>
      </c>
      <c r="K62" s="33">
        <v>46002</v>
      </c>
      <c r="L62" s="13" t="s">
        <v>136</v>
      </c>
      <c r="M62" s="13" t="s">
        <v>27</v>
      </c>
      <c r="N62" s="13" t="s">
        <v>36</v>
      </c>
      <c r="O62" s="33">
        <v>45761</v>
      </c>
      <c r="P62" s="13">
        <v>28</v>
      </c>
      <c r="AA62" s="13" t="s">
        <v>150</v>
      </c>
    </row>
    <row r="63" spans="1:27" s="31" customFormat="1" x14ac:dyDescent="0.25">
      <c r="A63" s="6" t="s">
        <v>25</v>
      </c>
      <c r="B63" s="6"/>
      <c r="C63" s="6"/>
      <c r="D63" s="6" t="s">
        <v>41</v>
      </c>
      <c r="E63" s="31" t="s">
        <v>148</v>
      </c>
      <c r="F63" s="31" t="s">
        <v>148</v>
      </c>
      <c r="G63" s="31" t="s">
        <v>149</v>
      </c>
      <c r="H63" s="31" t="s">
        <v>164</v>
      </c>
      <c r="J63" s="31" t="s">
        <v>148</v>
      </c>
      <c r="K63" s="34">
        <v>46002</v>
      </c>
      <c r="L63" s="31" t="s">
        <v>67</v>
      </c>
      <c r="M63" s="31" t="s">
        <v>27</v>
      </c>
      <c r="N63" s="31" t="s">
        <v>36</v>
      </c>
      <c r="O63" s="34">
        <v>45761</v>
      </c>
      <c r="P63" s="31">
        <v>25</v>
      </c>
      <c r="U63" s="31" t="s">
        <v>176</v>
      </c>
      <c r="V63" s="31">
        <v>8</v>
      </c>
      <c r="W63" s="31">
        <v>9</v>
      </c>
      <c r="X63" s="31">
        <v>2</v>
      </c>
      <c r="Y63" s="18" t="s">
        <v>178</v>
      </c>
      <c r="AA63" s="31" t="s">
        <v>151</v>
      </c>
    </row>
    <row r="64" spans="1:27" s="31" customFormat="1" x14ac:dyDescent="0.25">
      <c r="A64" s="6" t="s">
        <v>25</v>
      </c>
      <c r="B64" s="6"/>
      <c r="C64" s="6"/>
      <c r="D64" s="6" t="s">
        <v>41</v>
      </c>
      <c r="E64" s="31" t="s">
        <v>148</v>
      </c>
      <c r="F64" s="31" t="s">
        <v>148</v>
      </c>
      <c r="G64" s="31" t="s">
        <v>153</v>
      </c>
      <c r="H64" s="13"/>
      <c r="J64" s="31" t="s">
        <v>148</v>
      </c>
      <c r="K64" s="34">
        <v>46009</v>
      </c>
      <c r="L64" s="31" t="s">
        <v>68</v>
      </c>
      <c r="M64" s="31" t="s">
        <v>27</v>
      </c>
      <c r="N64" s="31" t="s">
        <v>36</v>
      </c>
      <c r="P64" s="31">
        <v>27</v>
      </c>
      <c r="U64" s="31">
        <v>13</v>
      </c>
      <c r="V64" s="31">
        <v>22</v>
      </c>
      <c r="W64" s="31">
        <v>9</v>
      </c>
      <c r="X64" s="31">
        <v>2</v>
      </c>
      <c r="Y64" s="18" t="s">
        <v>178</v>
      </c>
      <c r="AA64" s="31" t="s">
        <v>152</v>
      </c>
    </row>
    <row r="68" spans="13:25" x14ac:dyDescent="0.25">
      <c r="M68" s="13" t="s">
        <v>134</v>
      </c>
    </row>
    <row r="69" spans="13:25" x14ac:dyDescent="0.25">
      <c r="M69" s="13" t="s">
        <v>133</v>
      </c>
      <c r="R69" s="13" t="s">
        <v>130</v>
      </c>
      <c r="Y69" s="13"/>
    </row>
    <row r="70" spans="13:25" x14ac:dyDescent="0.25">
      <c r="N70" s="13" t="s">
        <v>131</v>
      </c>
      <c r="P70" s="13" t="s">
        <v>27</v>
      </c>
      <c r="S70" s="13" t="s">
        <v>131</v>
      </c>
      <c r="Y70" s="13" t="s">
        <v>27</v>
      </c>
    </row>
    <row r="71" spans="13:25" x14ac:dyDescent="0.25">
      <c r="M71" s="13" t="s">
        <v>36</v>
      </c>
      <c r="N71" s="13">
        <v>5</v>
      </c>
      <c r="O71" s="13" t="s">
        <v>36</v>
      </c>
      <c r="P71" s="13">
        <v>3</v>
      </c>
      <c r="R71" s="13" t="s">
        <v>36</v>
      </c>
      <c r="S71" s="13">
        <v>4</v>
      </c>
      <c r="T71" s="13" t="s">
        <v>36</v>
      </c>
      <c r="Y71" s="13">
        <v>3</v>
      </c>
    </row>
    <row r="72" spans="13:25" x14ac:dyDescent="0.25">
      <c r="M72" s="13" t="s">
        <v>28</v>
      </c>
      <c r="N72" s="13">
        <v>3</v>
      </c>
      <c r="O72" s="13" t="s">
        <v>28</v>
      </c>
      <c r="P72" s="13">
        <v>4</v>
      </c>
      <c r="R72" s="13" t="s">
        <v>28</v>
      </c>
      <c r="S72" s="13">
        <v>3</v>
      </c>
      <c r="T72" s="13" t="s">
        <v>28</v>
      </c>
      <c r="Y72" s="13">
        <v>5</v>
      </c>
    </row>
    <row r="73" spans="13:25" x14ac:dyDescent="0.25">
      <c r="M73" s="13" t="s">
        <v>132</v>
      </c>
      <c r="N73" s="13">
        <f>SUBTOTAL(9,N71:N72)</f>
        <v>8</v>
      </c>
      <c r="O73" s="13" t="s">
        <v>132</v>
      </c>
      <c r="P73" s="13">
        <f>SUBTOTAL(9,P71:P72)</f>
        <v>7</v>
      </c>
      <c r="R73" s="13" t="s">
        <v>132</v>
      </c>
      <c r="S73" s="13">
        <f>SUBTOTAL(9,S71:S72)</f>
        <v>7</v>
      </c>
      <c r="T73" s="13" t="s">
        <v>132</v>
      </c>
      <c r="Y73" s="13">
        <f>SUBTOTAL(9,Y71:Y72)</f>
        <v>8</v>
      </c>
    </row>
  </sheetData>
  <phoneticPr fontId="4" type="noConversion"/>
  <pageMargins left="0.7" right="0.7" top="0.75" bottom="0.75" header="0.3" footer="0.3"/>
  <pageSetup scale="6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2BBE-6F29-6A48-A15E-8C20FB4B5BF0}">
  <dimension ref="A1:A17"/>
  <sheetViews>
    <sheetView workbookViewId="0">
      <selection activeCell="W36" sqref="W36"/>
    </sheetView>
  </sheetViews>
  <sheetFormatPr baseColWidth="10" defaultRowHeight="16" x14ac:dyDescent="0.2"/>
  <sheetData>
    <row r="1" spans="1:1" ht="19" x14ac:dyDescent="0.2">
      <c r="A1" s="1" t="s">
        <v>52</v>
      </c>
    </row>
    <row r="2" spans="1:1" ht="19" x14ac:dyDescent="0.2">
      <c r="A2" s="1" t="s">
        <v>53</v>
      </c>
    </row>
    <row r="3" spans="1:1" ht="19" x14ac:dyDescent="0.2">
      <c r="A3" s="1" t="s">
        <v>54</v>
      </c>
    </row>
    <row r="4" spans="1:1" ht="19" x14ac:dyDescent="0.2">
      <c r="A4" s="1" t="s">
        <v>55</v>
      </c>
    </row>
    <row r="5" spans="1:1" ht="19" x14ac:dyDescent="0.2">
      <c r="A5" s="1" t="s">
        <v>56</v>
      </c>
    </row>
    <row r="6" spans="1:1" ht="19" x14ac:dyDescent="0.2">
      <c r="A6" s="1" t="s">
        <v>53</v>
      </c>
    </row>
    <row r="7" spans="1:1" ht="19" x14ac:dyDescent="0.2">
      <c r="A7" s="1" t="s">
        <v>57</v>
      </c>
    </row>
    <row r="8" spans="1:1" ht="19" x14ac:dyDescent="0.2">
      <c r="A8" s="1" t="s">
        <v>55</v>
      </c>
    </row>
    <row r="9" spans="1:1" ht="19" x14ac:dyDescent="0.2">
      <c r="A9" s="1" t="s">
        <v>56</v>
      </c>
    </row>
    <row r="10" spans="1:1" ht="19" x14ac:dyDescent="0.2">
      <c r="A10" s="1" t="s">
        <v>53</v>
      </c>
    </row>
    <row r="11" spans="1:1" ht="19" x14ac:dyDescent="0.2">
      <c r="A11" s="1" t="s">
        <v>58</v>
      </c>
    </row>
    <row r="12" spans="1:1" ht="19" x14ac:dyDescent="0.2">
      <c r="A12" s="1" t="s">
        <v>55</v>
      </c>
    </row>
    <row r="13" spans="1:1" ht="19" x14ac:dyDescent="0.2">
      <c r="A13" s="1" t="s">
        <v>59</v>
      </c>
    </row>
    <row r="14" spans="1:1" ht="19" x14ac:dyDescent="0.2">
      <c r="A14" s="1" t="s">
        <v>53</v>
      </c>
    </row>
    <row r="15" spans="1:1" ht="19" x14ac:dyDescent="0.2">
      <c r="A15" s="1" t="s">
        <v>60</v>
      </c>
    </row>
    <row r="16" spans="1:1" ht="19" x14ac:dyDescent="0.2">
      <c r="A16" s="1" t="s">
        <v>55</v>
      </c>
    </row>
    <row r="17" spans="1:1" ht="19" x14ac:dyDescent="0.2">
      <c r="A17" s="1" t="s">
        <v>61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Badea, Ph.D.</dc:creator>
  <cp:lastModifiedBy>Alexandra Badea, Ph.D.</cp:lastModifiedBy>
  <cp:lastPrinted>2026-01-16T16:14:35Z</cp:lastPrinted>
  <dcterms:created xsi:type="dcterms:W3CDTF">2026-01-14T16:55:42Z</dcterms:created>
  <dcterms:modified xsi:type="dcterms:W3CDTF">2026-05-15T18:14:45Z</dcterms:modified>
</cp:coreProperties>
</file>